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516763-1042-4FDA-AA63-0389F3A95511}" xr6:coauthVersionLast="47" xr6:coauthVersionMax="47" xr10:uidLastSave="{00000000-0000-0000-0000-000000000000}"/>
  <bookViews>
    <workbookView xWindow="-110" yWindow="-110" windowWidth="19420" windowHeight="10300" activeTab="1" xr2:uid="{F67DE2EC-0613-42EB-9E50-957F9BA22D6B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3" l="1"/>
  <c r="M37" i="3"/>
  <c r="M34" i="3"/>
  <c r="M35" i="3"/>
  <c r="M19" i="3"/>
  <c r="M28" i="3"/>
  <c r="M6" i="3"/>
  <c r="M45" i="3"/>
  <c r="M61" i="3"/>
  <c r="M56" i="3"/>
  <c r="M24" i="3"/>
  <c r="M15" i="3"/>
  <c r="M16" i="3"/>
  <c r="M38" i="3"/>
  <c r="M4" i="3"/>
  <c r="M8" i="3"/>
  <c r="M21" i="3"/>
  <c r="M30" i="3"/>
  <c r="M40" i="3"/>
  <c r="M9" i="3"/>
  <c r="M31" i="3"/>
  <c r="M10" i="3"/>
  <c r="M17" i="3"/>
  <c r="M23" i="3"/>
  <c r="M18" i="3"/>
  <c r="M2" i="3"/>
  <c r="M14" i="3"/>
  <c r="M22" i="3"/>
  <c r="M29" i="3"/>
  <c r="M5" i="3"/>
  <c r="M7" i="3"/>
  <c r="M11" i="3"/>
  <c r="M12" i="3"/>
  <c r="M26" i="3"/>
  <c r="M36" i="3"/>
  <c r="M20" i="3"/>
  <c r="M27" i="3"/>
  <c r="M43" i="3"/>
  <c r="M46" i="3"/>
  <c r="M32" i="3"/>
  <c r="M42" i="3"/>
  <c r="M58" i="3"/>
  <c r="M59" i="3"/>
  <c r="M39" i="3"/>
  <c r="M52" i="3"/>
  <c r="M25" i="3"/>
  <c r="M60" i="3"/>
  <c r="M48" i="3"/>
  <c r="M54" i="3"/>
  <c r="M44" i="3"/>
  <c r="M50" i="3"/>
  <c r="M55" i="3"/>
  <c r="M49" i="3"/>
  <c r="M51" i="3"/>
  <c r="M57" i="3"/>
  <c r="M53" i="3"/>
  <c r="M47" i="3"/>
  <c r="M33" i="3"/>
  <c r="M41" i="3"/>
  <c r="M3" i="3"/>
  <c r="K37" i="3"/>
  <c r="I3" i="3"/>
  <c r="I16" i="3"/>
  <c r="I38" i="3"/>
  <c r="I4" i="3"/>
  <c r="I8" i="3"/>
  <c r="I21" i="3"/>
  <c r="I30" i="3"/>
  <c r="I40" i="3"/>
  <c r="I9" i="3"/>
  <c r="I31" i="3"/>
  <c r="I10" i="3"/>
  <c r="I17" i="3"/>
  <c r="I23" i="3"/>
  <c r="I18" i="3"/>
  <c r="I2" i="3"/>
  <c r="I14" i="3"/>
  <c r="I22" i="3"/>
  <c r="I29" i="3"/>
  <c r="I5" i="3"/>
  <c r="I7" i="3"/>
  <c r="I11" i="3"/>
  <c r="I12" i="3"/>
  <c r="I26" i="3"/>
  <c r="I36" i="3"/>
  <c r="I20" i="3"/>
  <c r="I27" i="3"/>
  <c r="I43" i="3"/>
  <c r="I46" i="3"/>
  <c r="I32" i="3"/>
  <c r="I42" i="3"/>
  <c r="I58" i="3"/>
  <c r="I59" i="3"/>
  <c r="I39" i="3"/>
  <c r="I52" i="3"/>
  <c r="I25" i="3"/>
  <c r="I60" i="3"/>
  <c r="I48" i="3"/>
  <c r="I54" i="3"/>
  <c r="I44" i="3"/>
  <c r="I50" i="3"/>
  <c r="I55" i="3"/>
  <c r="I49" i="3"/>
  <c r="I51" i="3"/>
  <c r="I57" i="3"/>
  <c r="I53" i="3"/>
  <c r="I47" i="3"/>
  <c r="I33" i="3"/>
  <c r="I41" i="3"/>
  <c r="I19" i="3"/>
  <c r="I28" i="3"/>
  <c r="I6" i="3"/>
  <c r="I45" i="3"/>
  <c r="I61" i="3"/>
  <c r="I56" i="3"/>
  <c r="I24" i="3"/>
  <c r="I15" i="3"/>
  <c r="I34" i="3"/>
  <c r="I35" i="3"/>
  <c r="I37" i="3"/>
  <c r="I13" i="3"/>
  <c r="F3" i="3"/>
  <c r="J3" i="3" s="1"/>
  <c r="F13" i="3"/>
  <c r="J13" i="3" s="1"/>
  <c r="F37" i="3"/>
  <c r="J37" i="3" s="1"/>
  <c r="F34" i="3"/>
  <c r="J34" i="3" s="1"/>
  <c r="F35" i="3"/>
  <c r="J35" i="3" s="1"/>
  <c r="F19" i="3"/>
  <c r="F28" i="3"/>
  <c r="F6" i="3"/>
  <c r="F45" i="3"/>
  <c r="J45" i="3" s="1"/>
  <c r="F61" i="3"/>
  <c r="J61" i="3" s="1"/>
  <c r="F56" i="3"/>
  <c r="J56" i="3" s="1"/>
  <c r="F24" i="3"/>
  <c r="J24" i="3" s="1"/>
  <c r="F15" i="3"/>
  <c r="J15" i="3" s="1"/>
  <c r="F16" i="3"/>
  <c r="F38" i="3"/>
  <c r="F4" i="3"/>
  <c r="J4" i="3" s="1"/>
  <c r="F8" i="3"/>
  <c r="J8" i="3" s="1"/>
  <c r="F21" i="3"/>
  <c r="J21" i="3" s="1"/>
  <c r="F30" i="3"/>
  <c r="J30" i="3" s="1"/>
  <c r="F40" i="3"/>
  <c r="J40" i="3" s="1"/>
  <c r="F9" i="3"/>
  <c r="J9" i="3" s="1"/>
  <c r="F31" i="3"/>
  <c r="F10" i="3"/>
  <c r="F17" i="3"/>
  <c r="F23" i="3"/>
  <c r="F18" i="3"/>
  <c r="J18" i="3" s="1"/>
  <c r="F2" i="3"/>
  <c r="J2" i="3" s="1"/>
  <c r="F14" i="3"/>
  <c r="J14" i="3" s="1"/>
  <c r="F22" i="3"/>
  <c r="J22" i="3" s="1"/>
  <c r="F29" i="3"/>
  <c r="F5" i="3"/>
  <c r="F7" i="3"/>
  <c r="J7" i="3" s="1"/>
  <c r="F11" i="3"/>
  <c r="F12" i="3"/>
  <c r="J12" i="3" s="1"/>
  <c r="F26" i="3"/>
  <c r="J26" i="3" s="1"/>
  <c r="F36" i="3"/>
  <c r="J36" i="3" s="1"/>
  <c r="F20" i="3"/>
  <c r="J20" i="3" s="1"/>
  <c r="F27" i="3"/>
  <c r="F43" i="3"/>
  <c r="F46" i="3"/>
  <c r="F32" i="3"/>
  <c r="F42" i="3"/>
  <c r="J42" i="3" s="1"/>
  <c r="F58" i="3"/>
  <c r="J58" i="3" s="1"/>
  <c r="F59" i="3"/>
  <c r="J59" i="3" s="1"/>
  <c r="F39" i="3"/>
  <c r="J39" i="3" s="1"/>
  <c r="F52" i="3"/>
  <c r="F25" i="3"/>
  <c r="F60" i="3"/>
  <c r="J60" i="3" s="1"/>
  <c r="F48" i="3"/>
  <c r="F54" i="3"/>
  <c r="J54" i="3" s="1"/>
  <c r="F44" i="3"/>
  <c r="J44" i="3" s="1"/>
  <c r="F50" i="3"/>
  <c r="J50" i="3" s="1"/>
  <c r="F55" i="3"/>
  <c r="J55" i="3" s="1"/>
  <c r="F49" i="3"/>
  <c r="F51" i="3"/>
  <c r="F57" i="3"/>
  <c r="F53" i="3"/>
  <c r="F47" i="3"/>
  <c r="J47" i="3" s="1"/>
  <c r="F33" i="3"/>
  <c r="J33" i="3" s="1"/>
  <c r="F41" i="3"/>
  <c r="J41" i="3" s="1"/>
  <c r="H4" i="2"/>
  <c r="H6" i="2"/>
  <c r="H5" i="2"/>
  <c r="H3" i="2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2" i="1"/>
  <c r="F2" i="1" s="1"/>
  <c r="L53" i="3" l="1"/>
  <c r="L32" i="3"/>
  <c r="L48" i="3"/>
  <c r="L23" i="3"/>
  <c r="J48" i="3"/>
  <c r="L46" i="3"/>
  <c r="L6" i="3"/>
  <c r="L51" i="3"/>
  <c r="L25" i="3"/>
  <c r="L43" i="3"/>
  <c r="L61" i="3"/>
  <c r="L10" i="3"/>
  <c r="L38" i="3"/>
  <c r="L28" i="3"/>
  <c r="J32" i="3"/>
  <c r="L11" i="3"/>
  <c r="L57" i="3"/>
  <c r="L4" i="3"/>
  <c r="L49" i="3"/>
  <c r="L52" i="3"/>
  <c r="L27" i="3"/>
  <c r="L29" i="3"/>
  <c r="L31" i="3"/>
  <c r="L16" i="3"/>
  <c r="L19" i="3"/>
  <c r="J46" i="3"/>
  <c r="J6" i="3"/>
  <c r="L60" i="3"/>
  <c r="J11" i="3"/>
  <c r="L17" i="3"/>
  <c r="L45" i="3"/>
  <c r="L7" i="3"/>
  <c r="J53" i="3"/>
  <c r="J23" i="3"/>
  <c r="L8" i="3"/>
  <c r="J57" i="3"/>
  <c r="J17" i="3"/>
  <c r="L22" i="3"/>
  <c r="L41" i="3"/>
  <c r="L50" i="3"/>
  <c r="L59" i="3"/>
  <c r="L36" i="3"/>
  <c r="L14" i="3"/>
  <c r="L40" i="3"/>
  <c r="L24" i="3"/>
  <c r="L34" i="3"/>
  <c r="J51" i="3"/>
  <c r="J25" i="3"/>
  <c r="J43" i="3"/>
  <c r="J5" i="3"/>
  <c r="J10" i="3"/>
  <c r="J38" i="3"/>
  <c r="J28" i="3"/>
  <c r="L33" i="3"/>
  <c r="L44" i="3"/>
  <c r="L58" i="3"/>
  <c r="L26" i="3"/>
  <c r="L2" i="3"/>
  <c r="L30" i="3"/>
  <c r="L56" i="3"/>
  <c r="L37" i="3"/>
  <c r="L39" i="3"/>
  <c r="L15" i="3"/>
  <c r="J29" i="3"/>
  <c r="L47" i="3"/>
  <c r="L21" i="3"/>
  <c r="L55" i="3"/>
  <c r="L35" i="3"/>
  <c r="J52" i="3"/>
  <c r="J31" i="3"/>
  <c r="L42" i="3"/>
  <c r="L13" i="3"/>
  <c r="L3" i="3"/>
  <c r="L9" i="3"/>
  <c r="J49" i="3"/>
  <c r="J16" i="3"/>
  <c r="L54" i="3"/>
  <c r="L18" i="3"/>
  <c r="L5" i="3"/>
  <c r="L20" i="3"/>
  <c r="G41" i="3"/>
  <c r="J27" i="3"/>
  <c r="J19" i="3"/>
  <c r="L12" i="3"/>
  <c r="C62" i="3"/>
  <c r="C63" i="3" s="1"/>
  <c r="G33" i="3"/>
  <c r="G56" i="3"/>
  <c r="G54" i="3"/>
  <c r="G42" i="3"/>
  <c r="G12" i="3"/>
  <c r="G18" i="3"/>
  <c r="G21" i="3"/>
  <c r="G61" i="3"/>
  <c r="G30" i="3"/>
  <c r="G48" i="3"/>
  <c r="G32" i="3"/>
  <c r="G11" i="3"/>
  <c r="G23" i="3"/>
  <c r="G8" i="3"/>
  <c r="G45" i="3"/>
  <c r="H58" i="3"/>
  <c r="G57" i="3"/>
  <c r="G60" i="3"/>
  <c r="G46" i="3"/>
  <c r="G7" i="3"/>
  <c r="G17" i="3"/>
  <c r="G4" i="3"/>
  <c r="G6" i="3"/>
  <c r="H3" i="3"/>
  <c r="G2" i="3"/>
  <c r="H51" i="3"/>
  <c r="H25" i="3"/>
  <c r="H43" i="3"/>
  <c r="H5" i="3"/>
  <c r="H10" i="3"/>
  <c r="H38" i="3"/>
  <c r="H28" i="3"/>
  <c r="G37" i="3"/>
  <c r="H49" i="3"/>
  <c r="H27" i="3"/>
  <c r="H31" i="3"/>
  <c r="H16" i="3"/>
  <c r="H19" i="3"/>
  <c r="G26" i="3"/>
  <c r="H52" i="3"/>
  <c r="H29" i="3"/>
  <c r="H55" i="3"/>
  <c r="H39" i="3"/>
  <c r="H20" i="3"/>
  <c r="H22" i="3"/>
  <c r="H9" i="3"/>
  <c r="H15" i="3"/>
  <c r="H35" i="3"/>
  <c r="G44" i="3"/>
  <c r="H41" i="3"/>
  <c r="H50" i="3"/>
  <c r="H59" i="3"/>
  <c r="H36" i="3"/>
  <c r="H14" i="3"/>
  <c r="H40" i="3"/>
  <c r="G5" i="3"/>
  <c r="H30" i="3"/>
  <c r="G49" i="3"/>
  <c r="G52" i="3"/>
  <c r="G27" i="3"/>
  <c r="G29" i="3"/>
  <c r="G31" i="3"/>
  <c r="G16" i="3"/>
  <c r="G19" i="3"/>
  <c r="H47" i="3"/>
  <c r="H54" i="3"/>
  <c r="H42" i="3"/>
  <c r="H12" i="3"/>
  <c r="H18" i="3"/>
  <c r="H21" i="3"/>
  <c r="H61" i="3"/>
  <c r="G51" i="3"/>
  <c r="G28" i="3"/>
  <c r="H2" i="3"/>
  <c r="G3" i="3"/>
  <c r="G55" i="3"/>
  <c r="G39" i="3"/>
  <c r="G20" i="3"/>
  <c r="G22" i="3"/>
  <c r="G9" i="3"/>
  <c r="G15" i="3"/>
  <c r="G35" i="3"/>
  <c r="H53" i="3"/>
  <c r="H48" i="3"/>
  <c r="H32" i="3"/>
  <c r="H11" i="3"/>
  <c r="H23" i="3"/>
  <c r="H8" i="3"/>
  <c r="H45" i="3"/>
  <c r="G25" i="3"/>
  <c r="G38" i="3"/>
  <c r="H33" i="3"/>
  <c r="H26" i="3"/>
  <c r="H56" i="3"/>
  <c r="G50" i="3"/>
  <c r="G14" i="3"/>
  <c r="G24" i="3"/>
  <c r="H46" i="3"/>
  <c r="H17" i="3"/>
  <c r="G13" i="3"/>
  <c r="G43" i="3"/>
  <c r="H44" i="3"/>
  <c r="G36" i="3"/>
  <c r="G40" i="3"/>
  <c r="H57" i="3"/>
  <c r="H60" i="3"/>
  <c r="H4" i="3"/>
  <c r="G58" i="3"/>
  <c r="G47" i="3"/>
  <c r="G53" i="3"/>
  <c r="G10" i="3"/>
  <c r="G59" i="3"/>
  <c r="G34" i="3"/>
  <c r="H7" i="3"/>
  <c r="H6" i="3"/>
  <c r="H24" i="3"/>
  <c r="H13" i="3"/>
  <c r="H34" i="3"/>
  <c r="H37" i="3"/>
  <c r="H65" i="3" l="1"/>
  <c r="C64" i="3"/>
  <c r="H64" i="3"/>
  <c r="C65" i="3" l="1"/>
  <c r="C66" i="3" l="1"/>
  <c r="C67" i="3" s="1"/>
  <c r="C68" i="3" l="1"/>
  <c r="C69" i="3" l="1"/>
  <c r="C70" i="3" s="1"/>
  <c r="G2" i="1"/>
  <c r="G6" i="1"/>
  <c r="G1" i="1"/>
  <c r="G1" i="1" a="1"/>
  <c r="G5" i="1"/>
  <c r="G8" i="1"/>
  <c r="G4" i="1"/>
  <c r="G7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<sst xmlns="http://schemas.openxmlformats.org/spreadsheetml/2006/main" count="259" uniqueCount="199">
  <si>
    <t>NAMES</t>
  </si>
  <si>
    <t xml:space="preserve">PRECIOUS </t>
  </si>
  <si>
    <t>JOHN</t>
  </si>
  <si>
    <t>MICK</t>
  </si>
  <si>
    <t>MATHS</t>
  </si>
  <si>
    <t>ENGLISH</t>
  </si>
  <si>
    <t>SCORE</t>
  </si>
  <si>
    <t>FAVOUR</t>
  </si>
  <si>
    <t>GRACE</t>
  </si>
  <si>
    <t>MOSES</t>
  </si>
  <si>
    <t>GAB</t>
  </si>
  <si>
    <t>RESULTS</t>
  </si>
  <si>
    <t>STAFF ID</t>
  </si>
  <si>
    <t>DEPARTMENT</t>
  </si>
  <si>
    <t>GRADE LEVEL</t>
  </si>
  <si>
    <t>NAME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</si>
  <si>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</si>
  <si>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</si>
  <si>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</si>
  <si>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</si>
  <si>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</si>
  <si>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</si>
  <si>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</si>
  <si>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</si>
  <si>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</si>
  <si>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DAVID JOHSON</t>
  </si>
  <si>
    <t>GRACE WILLIAMS</t>
  </si>
  <si>
    <t>MICHAEL BROWN</t>
  </si>
  <si>
    <t>LINDA SMITH</t>
  </si>
  <si>
    <t>DANIEL OKAFOR</t>
  </si>
  <si>
    <t>FATIMA BELLO</t>
  </si>
  <si>
    <t>JOHN MARTINS</t>
  </si>
  <si>
    <t>ESTHER ADEBAYO</t>
  </si>
  <si>
    <t>ROSE TAYLOR</t>
  </si>
  <si>
    <t>PETER ADAMS</t>
  </si>
  <si>
    <t>ACCOUNTS</t>
  </si>
  <si>
    <t>MARKETING</t>
  </si>
  <si>
    <t>OPERTIONS</t>
  </si>
  <si>
    <t>HUMAN RESOURCES</t>
  </si>
  <si>
    <t>IT</t>
  </si>
  <si>
    <t>CUSTOMER SERVICE</t>
  </si>
  <si>
    <t>PROCUREMENT</t>
  </si>
  <si>
    <t>FINANCE</t>
  </si>
  <si>
    <t>LOGISTICS</t>
  </si>
  <si>
    <t>AUDIT</t>
  </si>
  <si>
    <t>S010</t>
  </si>
  <si>
    <t>GL 08</t>
  </si>
  <si>
    <t>GL 07</t>
  </si>
  <si>
    <t>GL 09</t>
  </si>
  <si>
    <t>GL 10</t>
  </si>
  <si>
    <t>GL 06</t>
  </si>
  <si>
    <t>MONTHLY SALARY</t>
  </si>
  <si>
    <t>ENTER STAFF ID</t>
  </si>
  <si>
    <t>Product ID</t>
  </si>
  <si>
    <t>Product Name</t>
  </si>
  <si>
    <t>Category</t>
  </si>
  <si>
    <t>Unit Price</t>
  </si>
  <si>
    <t>Quantity Sold</t>
  </si>
  <si>
    <t>Revenue</t>
  </si>
  <si>
    <t>Average Revenue Catergory</t>
  </si>
  <si>
    <t>Sales Status</t>
  </si>
  <si>
    <t>Price Band</t>
  </si>
  <si>
    <t xml:space="preserve">Product Summary </t>
  </si>
  <si>
    <t>Rank</t>
  </si>
  <si>
    <t>Report Date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</si>
  <si>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</si>
  <si>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</si>
  <si>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</si>
  <si>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</si>
  <si>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</si>
  <si>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</si>
  <si>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</si>
  <si>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</si>
  <si>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</si>
  <si>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</si>
  <si>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</si>
  <si>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</si>
  <si>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</si>
  <si>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</si>
  <si>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</si>
  <si>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</si>
  <si>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</si>
  <si>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</si>
  <si>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</si>
  <si>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</si>
  <si>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</si>
  <si>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</si>
  <si>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</si>
  <si>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</si>
  <si>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</si>
  <si>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</si>
  <si>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</si>
  <si>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</si>
  <si>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</si>
  <si>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</si>
  <si>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</si>
  <si>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</si>
  <si>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</si>
  <si>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</si>
  <si>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</si>
  <si>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</si>
  <si>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</si>
  <si>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</si>
  <si>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</si>
  <si>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</si>
  <si>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</si>
  <si>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</si>
  <si>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</si>
  <si>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</si>
  <si>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</si>
  <si>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</si>
  <si>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</si>
  <si>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</si>
  <si>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</si>
  <si>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</si>
  <si>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</si>
  <si>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</si>
  <si>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</si>
  <si>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</si>
  <si>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</si>
  <si>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</si>
  <si>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</si>
  <si>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</si>
  <si>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</si>
  <si>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</si>
  <si>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Rice</t>
  </si>
  <si>
    <t>Beans</t>
  </si>
  <si>
    <t>Spaghetti</t>
  </si>
  <si>
    <t>Red Oil</t>
  </si>
  <si>
    <t>Groundnut Oil</t>
  </si>
  <si>
    <t>Sugar</t>
  </si>
  <si>
    <t xml:space="preserve">Milk </t>
  </si>
  <si>
    <t>Bread</t>
  </si>
  <si>
    <t>Butter</t>
  </si>
  <si>
    <t>Tea</t>
  </si>
  <si>
    <t>Chocolate</t>
  </si>
  <si>
    <t>Indomitable</t>
  </si>
  <si>
    <t>Garri</t>
  </si>
  <si>
    <t>Semovita</t>
  </si>
  <si>
    <t>Wheat</t>
  </si>
  <si>
    <t>Flour</t>
  </si>
  <si>
    <t>Biscuit</t>
  </si>
  <si>
    <t>Salt</t>
  </si>
  <si>
    <t>Yogurt</t>
  </si>
  <si>
    <t>Cheese</t>
  </si>
  <si>
    <t>Juice</t>
  </si>
  <si>
    <t>Cake</t>
  </si>
  <si>
    <t>Water</t>
  </si>
  <si>
    <t>Chicken</t>
  </si>
  <si>
    <t>Beef</t>
  </si>
  <si>
    <t>Fish</t>
  </si>
  <si>
    <t>Egg</t>
  </si>
  <si>
    <t>Sausage</t>
  </si>
  <si>
    <t>Ham</t>
  </si>
  <si>
    <t>Shrimp</t>
  </si>
  <si>
    <t>Tomato</t>
  </si>
  <si>
    <t>Pepper</t>
  </si>
  <si>
    <t>Onion</t>
  </si>
  <si>
    <t>Carrot</t>
  </si>
  <si>
    <t>Cabbage</t>
  </si>
  <si>
    <t>Lettuce</t>
  </si>
  <si>
    <t>Apple</t>
  </si>
  <si>
    <t>Banana</t>
  </si>
  <si>
    <t>Pineapple</t>
  </si>
  <si>
    <t>Orange</t>
  </si>
  <si>
    <t>Mango</t>
  </si>
  <si>
    <t>Grapes</t>
  </si>
  <si>
    <t>Watermelon</t>
  </si>
  <si>
    <t>Avocado</t>
  </si>
  <si>
    <t>Ice Cream</t>
  </si>
  <si>
    <t>Jam</t>
  </si>
  <si>
    <t>Candy</t>
  </si>
  <si>
    <t>Peanut</t>
  </si>
  <si>
    <t>Cookies</t>
  </si>
  <si>
    <t>Shawarma</t>
  </si>
  <si>
    <t>Pizza</t>
  </si>
  <si>
    <t>Burger</t>
  </si>
  <si>
    <t>Meat Pie</t>
  </si>
  <si>
    <t>Pan Cakes</t>
  </si>
  <si>
    <t>Eggroll</t>
  </si>
  <si>
    <t>Hotdog</t>
  </si>
  <si>
    <t>Oats</t>
  </si>
  <si>
    <t>Cornflakes</t>
  </si>
  <si>
    <t>Green Tea</t>
  </si>
  <si>
    <t>Energy Drink</t>
  </si>
  <si>
    <t>Food</t>
  </si>
  <si>
    <t>Grocery</t>
  </si>
  <si>
    <t>Dairy</t>
  </si>
  <si>
    <t>Bakery</t>
  </si>
  <si>
    <t>Beverage</t>
  </si>
  <si>
    <t>Confectionery</t>
  </si>
  <si>
    <t>Meat</t>
  </si>
  <si>
    <t>Seafood</t>
  </si>
  <si>
    <t>Poultry</t>
  </si>
  <si>
    <t>Vegetable</t>
  </si>
  <si>
    <t>Fruit</t>
  </si>
  <si>
    <t>Lookup</t>
  </si>
  <si>
    <t>SUMIF</t>
  </si>
  <si>
    <t>COUNIF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</si>
</sst>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vertical="center"/>
    </xf>
    <xf numFmtId="0" fontId="0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SCORE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3A-4C2C-B028-0B1554B60D9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3A-4C2C-B028-0B1554B60D9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3A-4C2C-B028-0B1554B60D9B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3A-4C2C-B028-0B1554B60D9B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3A-4C2C-B028-0B1554B60D9B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83A-4C2C-B028-0B1554B60D9B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83A-4C2C-B028-0B1554B60D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Sheet1!$E$2:$E$8</c:f>
              <c:numCache>
                <c:formatCode>General</c:formatCode>
                <c:ptCount val="7"/>
                <c:pt idx="0">
                  <c:v>78</c:v>
                </c:pt>
                <c:pt idx="1">
                  <c:v>78</c:v>
                </c:pt>
                <c:pt idx="2">
                  <c:v>70</c:v>
                </c:pt>
                <c:pt idx="3">
                  <c:v>41.5</c:v>
                </c:pt>
                <c:pt idx="4">
                  <c:v>39.5</c:v>
                </c:pt>
                <c:pt idx="5">
                  <c:v>45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C-4FE9-845C-285FBEA147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0</xdr:row>
      <xdr:rowOff>152400</xdr:rowOff>
    </xdr:from>
    <xdr:to>
      <xdr:col>17</xdr:col>
      <xdr:colOff>279401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057EB9-E3C5-3276-B000-64CFEA8EE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30B8-2688-48E4-A985-966229F35F7A}">
  <dimension ref="B1:G8"/>
  <sheetViews>
    <sheetView workbookViewId="0">
      <selection activeCell="H3" sqref="H3"/>
    </sheetView>
  </sheetViews>
  <sheetFormatPr defaultRowHeight="14.5" x14ac:dyDescent="0.35"/>
  <cols>
    <col min="2" max="2" width="9.54296875" bestFit="1" customWidth="1"/>
    <col min="3" max="3" width="7.1796875" bestFit="1" customWidth="1"/>
  </cols>
  <sheetData>
    <row r="1" spans="2:7" x14ac:dyDescent="0.35">
      <c r="B1" s="1" t="s">
        <v>0</v>
      </c>
      <c r="C1" t="s">
        <v>4</v>
      </c>
      <c r="D1" t="s">
        <v>5</v>
      </c>
      <c r="E1" t="s">
        <v>6</v>
      </c>
      <c r="F1" t="s">
        <v>11</v>
      </c>
      <c r="G1" cm="1">
        <f t="array" aca="1" ref="G1" ca="1">VLOOKUP(G1,F2:BC8,PASS)</f>
        <v>0</v>
      </c>
    </row>
    <row r="2" spans="2:7" x14ac:dyDescent="0.35">
      <c r="B2" s="1" t="s">
        <v>2</v>
      </c>
      <c r="C2">
        <v>89</v>
      </c>
      <c r="D2">
        <v>67</v>
      </c>
      <c r="E2">
        <f>AVERAGE(C2:D2)</f>
        <v>78</v>
      </c>
      <c r="F2" t="str">
        <f>IF(E2&gt;=50,"PASS","FAIL")</f>
        <v>PASS</v>
      </c>
      <c r="G2">
        <f ca="1">VLOOKUP(G2,A2:F9,6,TRUE)</f>
        <v>0</v>
      </c>
    </row>
    <row r="3" spans="2:7" x14ac:dyDescent="0.35">
      <c r="B3" s="1" t="s">
        <v>3</v>
      </c>
      <c r="C3">
        <v>67</v>
      </c>
      <c r="D3">
        <v>89</v>
      </c>
      <c r="E3">
        <f t="shared" ref="E3:E8" si="0">AVERAGE(C3:D3)</f>
        <v>78</v>
      </c>
      <c r="F3" t="str">
        <f t="shared" ref="F3:F8" si="1">IF(E3&gt;=50,"PASS","FAIL")</f>
        <v>PASS</v>
      </c>
      <c r="G3">
        <f t="shared" ref="G3:G8" ca="1" si="2">VLOOKUP(G3,A3:F10,6,TRUE)</f>
        <v>0</v>
      </c>
    </row>
    <row r="4" spans="2:7" x14ac:dyDescent="0.35">
      <c r="B4" s="1" t="s">
        <v>1</v>
      </c>
      <c r="C4">
        <v>89</v>
      </c>
      <c r="D4">
        <v>51</v>
      </c>
      <c r="E4">
        <f t="shared" si="0"/>
        <v>70</v>
      </c>
      <c r="F4" t="str">
        <f t="shared" si="1"/>
        <v>PASS</v>
      </c>
      <c r="G4">
        <f t="shared" ca="1" si="2"/>
        <v>0</v>
      </c>
    </row>
    <row r="5" spans="2:7" x14ac:dyDescent="0.35">
      <c r="B5" s="1" t="s">
        <v>7</v>
      </c>
      <c r="C5">
        <v>34</v>
      </c>
      <c r="D5">
        <v>49</v>
      </c>
      <c r="E5">
        <f t="shared" si="0"/>
        <v>41.5</v>
      </c>
      <c r="F5" t="str">
        <f t="shared" si="1"/>
        <v>FAIL</v>
      </c>
      <c r="G5">
        <f t="shared" ca="1" si="2"/>
        <v>0</v>
      </c>
    </row>
    <row r="6" spans="2:7" x14ac:dyDescent="0.35">
      <c r="B6" s="1" t="s">
        <v>8</v>
      </c>
      <c r="C6">
        <v>23</v>
      </c>
      <c r="D6">
        <v>56</v>
      </c>
      <c r="E6">
        <f t="shared" si="0"/>
        <v>39.5</v>
      </c>
      <c r="F6" t="str">
        <f t="shared" si="1"/>
        <v>FAIL</v>
      </c>
      <c r="G6">
        <f t="shared" ca="1" si="2"/>
        <v>0</v>
      </c>
    </row>
    <row r="7" spans="2:7" x14ac:dyDescent="0.35">
      <c r="B7" s="1" t="s">
        <v>9</v>
      </c>
      <c r="C7">
        <v>56</v>
      </c>
      <c r="D7">
        <v>34</v>
      </c>
      <c r="E7">
        <f t="shared" si="0"/>
        <v>45</v>
      </c>
      <c r="F7" t="str">
        <f t="shared" si="1"/>
        <v>FAIL</v>
      </c>
      <c r="G7">
        <f t="shared" ca="1" si="2"/>
        <v>0</v>
      </c>
    </row>
    <row r="8" spans="2:7" x14ac:dyDescent="0.35">
      <c r="B8" s="1" t="s">
        <v>10</v>
      </c>
      <c r="C8">
        <v>49</v>
      </c>
      <c r="D8">
        <v>43</v>
      </c>
      <c r="E8">
        <f t="shared" si="0"/>
        <v>46</v>
      </c>
      <c r="F8" t="str">
        <f t="shared" si="1"/>
        <v>FAIL</v>
      </c>
      <c r="G8">
        <f t="shared" ca="1" si="2"/>
        <v>0</v>
      </c>
    </row>
  </sheetData>
  <sortState xmlns:xlrd2="http://schemas.microsoft.com/office/spreadsheetml/2017/richdata2" ref="B2:E8">
    <sortCondition ref="B2:B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DF92-9B2A-4FF5-B6C0-86B26A009992}">
  <dimension ref="A1:M70"/>
  <sheetViews>
    <sheetView tabSelected="1" workbookViewId="0">
      <selection activeCell="J8" sqref="J8"/>
    </sheetView>
  </sheetViews>
  <sheetFormatPr defaultRowHeight="14.5" x14ac:dyDescent="0.35"/>
  <cols>
    <col min="1" max="1" width="9.54296875" bestFit="1" customWidth="1"/>
    <col min="2" max="2" width="12.7265625" bestFit="1" customWidth="1"/>
    <col min="3" max="3" width="12.453125" bestFit="1" customWidth="1"/>
    <col min="5" max="5" width="12" bestFit="1" customWidth="1"/>
    <col min="7" max="7" width="24" bestFit="1" customWidth="1"/>
    <col min="8" max="8" width="14.36328125" bestFit="1" customWidth="1"/>
    <col min="9" max="9" width="9.54296875" bestFit="1" customWidth="1"/>
    <col min="10" max="10" width="37" bestFit="1" customWidth="1"/>
    <col min="11" max="11" width="16.26953125" customWidth="1"/>
    <col min="13" max="13" width="10.81640625" bestFit="1" customWidth="1"/>
  </cols>
  <sheetData>
    <row r="1" spans="1:13" x14ac:dyDescent="0.3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196</v>
      </c>
      <c r="L1" s="2" t="s">
        <v>63</v>
      </c>
      <c r="M1" s="2" t="s">
        <v>64</v>
      </c>
    </row>
    <row r="2" spans="1:13" x14ac:dyDescent="0.35">
      <c r="A2" t="s">
        <v>91</v>
      </c>
      <c r="B2" t="s">
        <v>151</v>
      </c>
      <c r="C2" t="s">
        <v>193</v>
      </c>
      <c r="D2">
        <v>24900</v>
      </c>
      <c r="E2">
        <v>75</v>
      </c>
      <c r="F2">
        <f>PRODUCT(D2:E2)</f>
        <v>1867500</v>
      </c>
      <c r="G2">
        <f>AVERAGE(F2:F61)</f>
        <v>358538.33333333331</v>
      </c>
      <c r="H2" t="str">
        <f>IF(F2&gt;=AVERAGE(F$2:F$61),"High Performing","Low Performing")</f>
        <v>High Performing</v>
      </c>
      <c r="I2" t="str">
        <f>IF(D2&gt;=10000,"Premium",IF(D2&gt;=8000,"Standard","Low Cost"))</f>
        <v>Premium</v>
      </c>
      <c r="J2" t="str">
        <f>_xlfn.CONCAT(B2," Generated ₦",F2," In Sales")</f>
        <v>Egg Generated ₦1867500 In Sales</v>
      </c>
      <c r="L2">
        <f>RANK(F2,F$2:F$61)</f>
        <v>1</v>
      </c>
      <c r="M2" s="6">
        <f ca="1">TODAY()</f>
        <v>46016</v>
      </c>
    </row>
    <row r="3" spans="1:13" x14ac:dyDescent="0.35">
      <c r="A3" t="s">
        <v>65</v>
      </c>
      <c r="B3" t="s">
        <v>125</v>
      </c>
      <c r="C3" t="s">
        <v>185</v>
      </c>
      <c r="D3">
        <v>30000</v>
      </c>
      <c r="E3">
        <v>40</v>
      </c>
      <c r="F3">
        <f>PRODUCT(D3:E3)</f>
        <v>1200000</v>
      </c>
      <c r="G3">
        <f>AVERAGE(F3:F62)</f>
        <v>332962.71186440677</v>
      </c>
      <c r="H3" t="str">
        <f>IF(F3&gt;=AVERAGE(F$2:F$61),"High Performing","Low Performing")</f>
        <v>High Performing</v>
      </c>
      <c r="I3" t="str">
        <f>IF(D3&gt;=10000,"Premium",IF(D3&gt;=8000,"Standard","Low Cost"))</f>
        <v>Premium</v>
      </c>
      <c r="J3" t="str">
        <f>_xlfn.CONCAT(B3," Generated ₦",F3," In Sales")</f>
        <v>Rice Generated ₦1200000 In Sales</v>
      </c>
      <c r="K3" t="s">
        <v>94</v>
      </c>
      <c r="L3">
        <f>RANK(F3,F$2:F$61)</f>
        <v>2</v>
      </c>
      <c r="M3" s="6">
        <f ca="1">TODAY()</f>
        <v>46016</v>
      </c>
    </row>
    <row r="4" spans="1:13" x14ac:dyDescent="0.35">
      <c r="A4" t="s">
        <v>80</v>
      </c>
      <c r="B4" t="s">
        <v>140</v>
      </c>
      <c r="C4" t="s">
        <v>186</v>
      </c>
      <c r="D4">
        <v>20000</v>
      </c>
      <c r="E4">
        <v>50</v>
      </c>
      <c r="F4">
        <f>PRODUCT(D4:E4)</f>
        <v>1000000</v>
      </c>
      <c r="G4">
        <f>AVERAGE(F4:F63)</f>
        <v>318013.79310344829</v>
      </c>
      <c r="H4" t="str">
        <f>IF(F4&gt;=AVERAGE(F$2:F$61),"High Performing","Low Performing")</f>
        <v>High Performing</v>
      </c>
      <c r="I4" t="str">
        <f>IF(D4&gt;=10000,"Premium",IF(D4&gt;=8000,"Standard","Low Cost"))</f>
        <v>Premium</v>
      </c>
      <c r="J4" t="str">
        <f>_xlfn.CONCAT(B4," Generated ₦",F4," In Sales")</f>
        <v>Flour Generated ₦1000000 In Sales</v>
      </c>
      <c r="L4">
        <f>RANK(F4,F$2:F$61)</f>
        <v>3</v>
      </c>
      <c r="M4" s="6">
        <f ca="1">TODAY()</f>
        <v>46016</v>
      </c>
    </row>
    <row r="5" spans="1:13" x14ac:dyDescent="0.35">
      <c r="A5" t="s">
        <v>95</v>
      </c>
      <c r="B5" t="s">
        <v>155</v>
      </c>
      <c r="C5" t="s">
        <v>194</v>
      </c>
      <c r="D5">
        <v>10700</v>
      </c>
      <c r="E5">
        <v>85</v>
      </c>
      <c r="F5">
        <f>PRODUCT(D5:E5)</f>
        <v>909500</v>
      </c>
      <c r="G5">
        <f>AVERAGE(F5:F64)</f>
        <v>306049.12280701753</v>
      </c>
      <c r="H5" t="str">
        <f>IF(F5&gt;=AVERAGE(F$2:F$61),"High Performing","Low Performing")</f>
        <v>High Performing</v>
      </c>
      <c r="I5" t="str">
        <f>IF(D5&gt;=10000,"Premium",IF(D5&gt;=8000,"Standard","Low Cost"))</f>
        <v>Premium</v>
      </c>
      <c r="J5" t="str">
        <f>_xlfn.CONCAT(B5," Generated ₦",F5," In Sales")</f>
        <v>Tomato Generated ₦909500 In Sales</v>
      </c>
      <c r="L5">
        <f>RANK(F5,F$2:F$61)</f>
        <v>4</v>
      </c>
      <c r="M5" s="6">
        <f ca="1">TODAY()</f>
        <v>46016</v>
      </c>
    </row>
    <row r="6" spans="1:13" x14ac:dyDescent="0.35">
      <c r="A6" t="s">
        <v>72</v>
      </c>
      <c r="B6" t="s">
        <v>132</v>
      </c>
      <c r="C6" t="s">
        <v>188</v>
      </c>
      <c r="D6">
        <v>28000</v>
      </c>
      <c r="E6">
        <v>30</v>
      </c>
      <c r="F6">
        <f>PRODUCT(D6:E6)</f>
        <v>840000</v>
      </c>
      <c r="G6">
        <f>AVERAGE(F6:F65)</f>
        <v>295273.21428571426</v>
      </c>
      <c r="H6" t="str">
        <f>IF(F6&gt;=AVERAGE(F$2:F$61),"High Performing","Low Performing")</f>
        <v>High Performing</v>
      </c>
      <c r="I6" t="str">
        <f>IF(D6&gt;=10000,"Premium",IF(D6&gt;=8000,"Standard","Low Cost"))</f>
        <v>Premium</v>
      </c>
      <c r="J6" t="str">
        <f>_xlfn.CONCAT(B6," Generated ₦",F6," In Sales")</f>
        <v>Bread Generated ₦840000 In Sales</v>
      </c>
      <c r="L6">
        <f>RANK(F6,F$2:F$61)</f>
        <v>5</v>
      </c>
      <c r="M6" s="6">
        <f ca="1">TODAY()</f>
        <v>46016</v>
      </c>
    </row>
    <row r="7" spans="1:13" x14ac:dyDescent="0.35">
      <c r="A7" t="s">
        <v>96</v>
      </c>
      <c r="B7" t="s">
        <v>156</v>
      </c>
      <c r="C7" t="s">
        <v>194</v>
      </c>
      <c r="D7">
        <v>8700</v>
      </c>
      <c r="E7">
        <v>90</v>
      </c>
      <c r="F7">
        <f>PRODUCT(D7:E7)</f>
        <v>783000</v>
      </c>
      <c r="G7">
        <f>AVERAGE(F7:F66)</f>
        <v>285369.09090909088</v>
      </c>
      <c r="H7" t="str">
        <f>IF(F7&gt;=AVERAGE(F$2:F$61),"High Performing","Low Performing")</f>
        <v>High Performing</v>
      </c>
      <c r="I7" t="str">
        <f>IF(D7&gt;=10000,"Premium",IF(D7&gt;=8000,"Standard","Low Cost"))</f>
        <v>Standard</v>
      </c>
      <c r="J7" t="str">
        <f>_xlfn.CONCAT(B7," Generated ₦",F7," In Sales")</f>
        <v>Pepper Generated ₦783000 In Sales</v>
      </c>
      <c r="L7">
        <f>RANK(F7,F$2:F$61)</f>
        <v>6</v>
      </c>
      <c r="M7" s="6">
        <f ca="1">TODAY()</f>
        <v>46016</v>
      </c>
    </row>
    <row r="8" spans="1:13" x14ac:dyDescent="0.35">
      <c r="A8" t="s">
        <v>81</v>
      </c>
      <c r="B8" t="s">
        <v>141</v>
      </c>
      <c r="C8" t="s">
        <v>188</v>
      </c>
      <c r="D8">
        <v>6500</v>
      </c>
      <c r="E8">
        <v>120</v>
      </c>
      <c r="F8">
        <f>PRODUCT(D8:E8)</f>
        <v>780000</v>
      </c>
      <c r="G8">
        <f>AVERAGE(F8:F67)</f>
        <v>276153.70370370371</v>
      </c>
      <c r="H8" t="str">
        <f>IF(F8&gt;=AVERAGE(F$2:F$61),"High Performing","Low Performing")</f>
        <v>High Performing</v>
      </c>
      <c r="I8" t="str">
        <f>IF(D8&gt;=10000,"Premium",IF(D8&gt;=8000,"Standard","Low Cost"))</f>
        <v>Low Cost</v>
      </c>
      <c r="J8" t="str">
        <f>_xlfn.CONCAT(B8," Generated ₦",F8," In Sales")</f>
        <v>Biscuit Generated ₦780000 In Sales</v>
      </c>
      <c r="L8">
        <f>RANK(F8,F$2:F$61)</f>
        <v>7</v>
      </c>
      <c r="M8" s="6">
        <f ca="1">TODAY()</f>
        <v>46016</v>
      </c>
    </row>
    <row r="9" spans="1:13" x14ac:dyDescent="0.35">
      <c r="A9" t="s">
        <v>85</v>
      </c>
      <c r="B9" t="s">
        <v>145</v>
      </c>
      <c r="C9" t="s">
        <v>189</v>
      </c>
      <c r="D9">
        <v>12800</v>
      </c>
      <c r="E9">
        <v>55</v>
      </c>
      <c r="F9">
        <f>PRODUCT(D9:E9)</f>
        <v>704000</v>
      </c>
      <c r="G9">
        <f>AVERAGE(F9:F68)</f>
        <v>266647.16981132078</v>
      </c>
      <c r="H9" t="str">
        <f>IF(F9&gt;=AVERAGE(F$2:F$61),"High Performing","Low Performing")</f>
        <v>High Performing</v>
      </c>
      <c r="I9" t="str">
        <f>IF(D9&gt;=10000,"Premium",IF(D9&gt;=8000,"Standard","Low Cost"))</f>
        <v>Premium</v>
      </c>
      <c r="J9" t="str">
        <f>_xlfn.CONCAT(B9," Generated ₦",F9," In Sales")</f>
        <v>Juice Generated ₦704000 In Sales</v>
      </c>
      <c r="L9">
        <f>RANK(F9,F$2:F$61)</f>
        <v>8</v>
      </c>
      <c r="M9" s="6">
        <f ca="1">TODAY()</f>
        <v>46016</v>
      </c>
    </row>
    <row r="10" spans="1:13" x14ac:dyDescent="0.35">
      <c r="A10" t="s">
        <v>87</v>
      </c>
      <c r="B10" t="s">
        <v>147</v>
      </c>
      <c r="C10" t="s">
        <v>189</v>
      </c>
      <c r="D10">
        <v>3500</v>
      </c>
      <c r="E10">
        <v>200</v>
      </c>
      <c r="F10">
        <f>PRODUCT(D10:E10)</f>
        <v>700000</v>
      </c>
      <c r="G10">
        <f>AVERAGE(F10:F69)</f>
        <v>258236.53846153847</v>
      </c>
      <c r="H10" t="str">
        <f>IF(F10&gt;=AVERAGE(F$2:F$61),"High Performing","Low Performing")</f>
        <v>High Performing</v>
      </c>
      <c r="I10" t="str">
        <f>IF(D10&gt;=10000,"Premium",IF(D10&gt;=8000,"Standard","Low Cost"))</f>
        <v>Low Cost</v>
      </c>
      <c r="J10" t="str">
        <f>_xlfn.CONCAT(B10," Generated ₦",F10," In Sales")</f>
        <v>Water Generated ₦700000 In Sales</v>
      </c>
      <c r="L10">
        <f>RANK(F10,F$2:F$61)</f>
        <v>9</v>
      </c>
      <c r="M10" s="6">
        <f ca="1">TODAY()</f>
        <v>46016</v>
      </c>
    </row>
    <row r="11" spans="1:13" x14ac:dyDescent="0.35">
      <c r="A11" t="s">
        <v>97</v>
      </c>
      <c r="B11" t="s">
        <v>157</v>
      </c>
      <c r="C11" t="s">
        <v>194</v>
      </c>
      <c r="D11">
        <v>6700</v>
      </c>
      <c r="E11">
        <v>100</v>
      </c>
      <c r="F11">
        <f>PRODUCT(D11:E11)</f>
        <v>670000</v>
      </c>
      <c r="G11">
        <f>AVERAGE(F11:F70)</f>
        <v>249574.50980392157</v>
      </c>
      <c r="H11" t="str">
        <f>IF(F11&gt;=AVERAGE(F$2:F$61),"High Performing","Low Performing")</f>
        <v>High Performing</v>
      </c>
      <c r="I11" t="str">
        <f>IF(D11&gt;=10000,"Premium",IF(D11&gt;=8000,"Standard","Low Cost"))</f>
        <v>Low Cost</v>
      </c>
      <c r="J11" t="str">
        <f>_xlfn.CONCAT(B11," Generated ₦",F11," In Sales")</f>
        <v>Onion Generated ₦670000 In Sales</v>
      </c>
      <c r="L11">
        <f>RANK(F11,F$2:F$61)</f>
        <v>10</v>
      </c>
      <c r="M11" s="6">
        <f ca="1">TODAY()</f>
        <v>46016</v>
      </c>
    </row>
    <row r="12" spans="1:13" x14ac:dyDescent="0.35">
      <c r="A12" t="s">
        <v>98</v>
      </c>
      <c r="B12" t="s">
        <v>158</v>
      </c>
      <c r="C12" t="s">
        <v>194</v>
      </c>
      <c r="D12">
        <v>8500</v>
      </c>
      <c r="E12">
        <v>78</v>
      </c>
      <c r="F12">
        <f>PRODUCT(D12:E12)</f>
        <v>663000</v>
      </c>
      <c r="G12">
        <f>AVERAGE(F12:F71)</f>
        <v>241166</v>
      </c>
      <c r="H12" t="str">
        <f>IF(F12&gt;=AVERAGE(F$2:F$61),"High Performing","Low Performing")</f>
        <v>High Performing</v>
      </c>
      <c r="I12" t="str">
        <f>IF(D12&gt;=10000,"Premium",IF(D12&gt;=8000,"Standard","Low Cost"))</f>
        <v>Standard</v>
      </c>
      <c r="J12" t="str">
        <f>_xlfn.CONCAT(B12," Generated ₦",F12," In Sales")</f>
        <v>Carrot Generated ₦663000 In Sales</v>
      </c>
      <c r="L12">
        <f>RANK(F12,F$2:F$61)</f>
        <v>11</v>
      </c>
      <c r="M12" s="6">
        <f ca="1">TODAY()</f>
        <v>46016</v>
      </c>
    </row>
    <row r="13" spans="1:13" x14ac:dyDescent="0.35">
      <c r="A13" t="s">
        <v>66</v>
      </c>
      <c r="B13" t="s">
        <v>126</v>
      </c>
      <c r="C13" t="s">
        <v>185</v>
      </c>
      <c r="D13">
        <v>25000</v>
      </c>
      <c r="E13">
        <v>25</v>
      </c>
      <c r="F13">
        <f>PRODUCT(D13:E13)</f>
        <v>625000</v>
      </c>
      <c r="G13">
        <f>AVERAGE(F13:F72)</f>
        <v>232557.14285714287</v>
      </c>
      <c r="H13" t="str">
        <f>IF(F13&gt;=AVERAGE(F$2:F$61),"High Performing","Low Performing")</f>
        <v>High Performing</v>
      </c>
      <c r="I13" t="str">
        <f>IF(D13&gt;=10000,"Premium",IF(D13&gt;=8000,"Standard","Low Cost"))</f>
        <v>Premium</v>
      </c>
      <c r="J13" t="str">
        <f>_xlfn.CONCAT(B13," Generated ₦",F13," In Sales")</f>
        <v>Beans Generated ₦625000 In Sales</v>
      </c>
      <c r="L13">
        <f>RANK(F13,F$2:F$61)</f>
        <v>12</v>
      </c>
      <c r="M13" s="6">
        <f ca="1">TODAY()</f>
        <v>46016</v>
      </c>
    </row>
    <row r="14" spans="1:13" x14ac:dyDescent="0.35">
      <c r="A14" t="s">
        <v>92</v>
      </c>
      <c r="B14" t="s">
        <v>152</v>
      </c>
      <c r="C14" t="s">
        <v>191</v>
      </c>
      <c r="D14">
        <v>23000</v>
      </c>
      <c r="E14">
        <v>25</v>
      </c>
      <c r="F14">
        <f>PRODUCT(D14:E14)</f>
        <v>575000</v>
      </c>
      <c r="G14">
        <f>AVERAGE(F14:F73)</f>
        <v>224381.25</v>
      </c>
      <c r="H14" t="str">
        <f>IF(F14&gt;=AVERAGE(F$2:F$61),"High Performing","Low Performing")</f>
        <v>High Performing</v>
      </c>
      <c r="I14" t="str">
        <f>IF(D14&gt;=10000,"Premium",IF(D14&gt;=8000,"Standard","Low Cost"))</f>
        <v>Premium</v>
      </c>
      <c r="J14" t="str">
        <f>_xlfn.CONCAT(B14," Generated ₦",F14," In Sales")</f>
        <v>Sausage Generated ₦575000 In Sales</v>
      </c>
      <c r="L14">
        <f>RANK(F14,F$2:F$61)</f>
        <v>13</v>
      </c>
      <c r="M14" s="6">
        <f ca="1">TODAY()</f>
        <v>46016</v>
      </c>
    </row>
    <row r="15" spans="1:13" x14ac:dyDescent="0.35">
      <c r="A15" t="s">
        <v>77</v>
      </c>
      <c r="B15" t="s">
        <v>137</v>
      </c>
      <c r="C15" t="s">
        <v>186</v>
      </c>
      <c r="D15">
        <v>15000</v>
      </c>
      <c r="E15">
        <v>38</v>
      </c>
      <c r="F15">
        <f>PRODUCT(D15:E15)</f>
        <v>570000</v>
      </c>
      <c r="G15">
        <f>AVERAGE(F15:F74)</f>
        <v>216921.27659574468</v>
      </c>
      <c r="H15" t="str">
        <f>IF(F15&gt;=AVERAGE(F$2:F$61),"High Performing","Low Performing")</f>
        <v>High Performing</v>
      </c>
      <c r="I15" t="str">
        <f>IF(D15&gt;=10000,"Premium",IF(D15&gt;=8000,"Standard","Low Cost"))</f>
        <v>Premium</v>
      </c>
      <c r="J15" t="str">
        <f>_xlfn.CONCAT(B15," Generated ₦",F15," In Sales")</f>
        <v>Garri Generated ₦570000 In Sales</v>
      </c>
      <c r="L15">
        <f>RANK(F15,F$2:F$61)</f>
        <v>14</v>
      </c>
      <c r="M15" s="6">
        <f ca="1">TODAY()</f>
        <v>46016</v>
      </c>
    </row>
    <row r="16" spans="1:13" x14ac:dyDescent="0.35">
      <c r="A16" t="s">
        <v>78</v>
      </c>
      <c r="B16" t="s">
        <v>138</v>
      </c>
      <c r="C16" t="s">
        <v>186</v>
      </c>
      <c r="D16">
        <v>15000</v>
      </c>
      <c r="E16">
        <v>37</v>
      </c>
      <c r="F16">
        <f>PRODUCT(D16:E16)</f>
        <v>555000</v>
      </c>
      <c r="G16">
        <f>AVERAGE(F16:F75)</f>
        <v>209245.65217391305</v>
      </c>
      <c r="H16" t="str">
        <f>IF(F16&gt;=AVERAGE(F$2:F$61),"High Performing","Low Performing")</f>
        <v>High Performing</v>
      </c>
      <c r="I16" t="str">
        <f>IF(D16&gt;=10000,"Premium",IF(D16&gt;=8000,"Standard","Low Cost"))</f>
        <v>Premium</v>
      </c>
      <c r="J16" t="str">
        <f>_xlfn.CONCAT(B16," Generated ₦",F16," In Sales")</f>
        <v>Semovita Generated ₦555000 In Sales</v>
      </c>
      <c r="L16">
        <f>RANK(F16,F$2:F$61)</f>
        <v>15</v>
      </c>
      <c r="M16" s="6">
        <f ca="1">TODAY()</f>
        <v>46016</v>
      </c>
    </row>
    <row r="17" spans="1:13" x14ac:dyDescent="0.35">
      <c r="A17" t="s">
        <v>88</v>
      </c>
      <c r="B17" t="s">
        <v>148</v>
      </c>
      <c r="C17" t="s">
        <v>191</v>
      </c>
      <c r="D17">
        <v>30000</v>
      </c>
      <c r="E17">
        <v>18</v>
      </c>
      <c r="F17">
        <f>PRODUCT(D17:E17)</f>
        <v>540000</v>
      </c>
      <c r="G17">
        <f>AVERAGE(F17:F76)</f>
        <v>201562.22222222222</v>
      </c>
      <c r="H17" t="str">
        <f>IF(F17&gt;=AVERAGE(F$2:F$61),"High Performing","Low Performing")</f>
        <v>High Performing</v>
      </c>
      <c r="I17" t="str">
        <f>IF(D17&gt;=10000,"Premium",IF(D17&gt;=8000,"Standard","Low Cost"))</f>
        <v>Premium</v>
      </c>
      <c r="J17" t="str">
        <f>_xlfn.CONCAT(B17," Generated ₦",F17," In Sales")</f>
        <v>Chicken Generated ₦540000 In Sales</v>
      </c>
      <c r="L17">
        <f>RANK(F17,F$2:F$61)</f>
        <v>16</v>
      </c>
      <c r="M17" s="6">
        <f ca="1">TODAY()</f>
        <v>46016</v>
      </c>
    </row>
    <row r="18" spans="1:13" x14ac:dyDescent="0.35">
      <c r="A18" t="s">
        <v>90</v>
      </c>
      <c r="B18" t="s">
        <v>150</v>
      </c>
      <c r="C18" t="s">
        <v>192</v>
      </c>
      <c r="D18">
        <v>26900</v>
      </c>
      <c r="E18">
        <v>20</v>
      </c>
      <c r="F18">
        <f>PRODUCT(D18:E18)</f>
        <v>538000</v>
      </c>
      <c r="G18">
        <f>AVERAGE(F18:F77)</f>
        <v>193870.45454545456</v>
      </c>
      <c r="H18" t="str">
        <f>IF(F18&gt;=AVERAGE(F$2:F$61),"High Performing","Low Performing")</f>
        <v>High Performing</v>
      </c>
      <c r="I18" t="str">
        <f>IF(D18&gt;=10000,"Premium",IF(D18&gt;=8000,"Standard","Low Cost"))</f>
        <v>Premium</v>
      </c>
      <c r="J18" t="str">
        <f>_xlfn.CONCAT(B18," Generated ₦",F18," In Sales")</f>
        <v>Fish Generated ₦538000 In Sales</v>
      </c>
      <c r="L18">
        <f>RANK(F18,F$2:F$61)</f>
        <v>17</v>
      </c>
      <c r="M18" s="6">
        <f ca="1">TODAY()</f>
        <v>46016</v>
      </c>
    </row>
    <row r="19" spans="1:13" x14ac:dyDescent="0.35">
      <c r="A19" t="s">
        <v>70</v>
      </c>
      <c r="B19" t="s">
        <v>130</v>
      </c>
      <c r="C19" t="s">
        <v>186</v>
      </c>
      <c r="D19">
        <v>8000</v>
      </c>
      <c r="E19">
        <v>60</v>
      </c>
      <c r="F19">
        <f>PRODUCT(D19:E19)</f>
        <v>480000</v>
      </c>
      <c r="G19">
        <f>AVERAGE(F19:F78)</f>
        <v>185867.44186046513</v>
      </c>
      <c r="H19" t="str">
        <f>IF(F19&gt;=AVERAGE(F$2:F$61),"High Performing","Low Performing")</f>
        <v>High Performing</v>
      </c>
      <c r="I19" t="str">
        <f>IF(D19&gt;=10000,"Premium",IF(D19&gt;=8000,"Standard","Low Cost"))</f>
        <v>Standard</v>
      </c>
      <c r="J19" t="str">
        <f>_xlfn.CONCAT(B19," Generated ₦",F19," In Sales")</f>
        <v>Sugar Generated ₦480000 In Sales</v>
      </c>
      <c r="L19">
        <f>RANK(F19,F$2:F$61)</f>
        <v>18</v>
      </c>
      <c r="M19" s="6">
        <f ca="1">TODAY()</f>
        <v>46016</v>
      </c>
    </row>
    <row r="20" spans="1:13" x14ac:dyDescent="0.35">
      <c r="A20" t="s">
        <v>101</v>
      </c>
      <c r="B20" t="s">
        <v>161</v>
      </c>
      <c r="C20" t="s">
        <v>195</v>
      </c>
      <c r="D20">
        <v>6000</v>
      </c>
      <c r="E20">
        <v>80</v>
      </c>
      <c r="F20">
        <f>PRODUCT(D20:E20)</f>
        <v>480000</v>
      </c>
      <c r="G20">
        <f>AVERAGE(F20:F79)</f>
        <v>178864.28571428571</v>
      </c>
      <c r="H20" t="str">
        <f>IF(F20&gt;=AVERAGE(F$2:F$61),"High Performing","Low Performing")</f>
        <v>High Performing</v>
      </c>
      <c r="I20" t="str">
        <f>IF(D20&gt;=10000,"Premium",IF(D20&gt;=8000,"Standard","Low Cost"))</f>
        <v>Low Cost</v>
      </c>
      <c r="J20" t="str">
        <f>_xlfn.CONCAT(B20," Generated ₦",F20," In Sales")</f>
        <v>Apple Generated ₦480000 In Sales</v>
      </c>
      <c r="L20">
        <f>RANK(F20,F$2:F$61)</f>
        <v>18</v>
      </c>
      <c r="M20" s="6">
        <f ca="1">TODAY()</f>
        <v>46016</v>
      </c>
    </row>
    <row r="21" spans="1:13" x14ac:dyDescent="0.35">
      <c r="A21" t="s">
        <v>82</v>
      </c>
      <c r="B21" t="s">
        <v>142</v>
      </c>
      <c r="C21" t="s">
        <v>186</v>
      </c>
      <c r="D21">
        <v>6200</v>
      </c>
      <c r="E21">
        <v>70</v>
      </c>
      <c r="F21">
        <f>PRODUCT(D21:E21)</f>
        <v>434000</v>
      </c>
      <c r="G21">
        <f>AVERAGE(F21:F80)</f>
        <v>171519.51219512196</v>
      </c>
      <c r="H21" t="str">
        <f>IF(F21&gt;=AVERAGE(F$2:F$61),"High Performing","Low Performing")</f>
        <v>High Performing</v>
      </c>
      <c r="I21" t="str">
        <f>IF(D21&gt;=10000,"Premium",IF(D21&gt;=8000,"Standard","Low Cost"))</f>
        <v>Low Cost</v>
      </c>
      <c r="J21" t="str">
        <f>_xlfn.CONCAT(B21," Generated ₦",F21," In Sales")</f>
        <v>Salt Generated ₦434000 In Sales</v>
      </c>
      <c r="L21">
        <f>RANK(F21,F$2:F$61)</f>
        <v>20</v>
      </c>
      <c r="M21" s="6">
        <f ca="1">TODAY()</f>
        <v>46016</v>
      </c>
    </row>
    <row r="22" spans="1:13" x14ac:dyDescent="0.35">
      <c r="A22" t="s">
        <v>93</v>
      </c>
      <c r="B22" t="s">
        <v>153</v>
      </c>
      <c r="C22" t="s">
        <v>191</v>
      </c>
      <c r="D22">
        <v>27000</v>
      </c>
      <c r="E22">
        <v>15</v>
      </c>
      <c r="F22">
        <f>PRODUCT(D22:E22)</f>
        <v>405000</v>
      </c>
      <c r="G22">
        <f>AVERAGE(F22:F81)</f>
        <v>164957.5</v>
      </c>
      <c r="H22" t="str">
        <f>IF(F22&gt;=AVERAGE(F$2:F$61),"High Performing","Low Performing")</f>
        <v>High Performing</v>
      </c>
      <c r="I22" t="str">
        <f>IF(D22&gt;=10000,"Premium",IF(D22&gt;=8000,"Standard","Low Cost"))</f>
        <v>Premium</v>
      </c>
      <c r="J22" t="str">
        <f>_xlfn.CONCAT(B22," Generated ₦",F22," In Sales")</f>
        <v>Ham Generated ₦405000 In Sales</v>
      </c>
      <c r="L22">
        <f>RANK(F22,F$2:F$61)</f>
        <v>21</v>
      </c>
      <c r="M22" s="6">
        <f ca="1">TODAY()</f>
        <v>46016</v>
      </c>
    </row>
    <row r="23" spans="1:13" x14ac:dyDescent="0.35">
      <c r="A23" t="s">
        <v>89</v>
      </c>
      <c r="B23" t="s">
        <v>149</v>
      </c>
      <c r="C23" t="s">
        <v>191</v>
      </c>
      <c r="D23">
        <v>28700</v>
      </c>
      <c r="E23">
        <v>14</v>
      </c>
      <c r="F23">
        <f>PRODUCT(D23:E23)</f>
        <v>401800</v>
      </c>
      <c r="G23">
        <f>AVERAGE(F23:F82)</f>
        <v>158802.56410256409</v>
      </c>
      <c r="H23" t="str">
        <f>IF(F23&gt;=AVERAGE(F$2:F$61),"High Performing","Low Performing")</f>
        <v>High Performing</v>
      </c>
      <c r="I23" t="str">
        <f>IF(D23&gt;=10000,"Premium",IF(D23&gt;=8000,"Standard","Low Cost"))</f>
        <v>Premium</v>
      </c>
      <c r="J23" t="str">
        <f>_xlfn.CONCAT(B23," Generated ₦",F23," In Sales")</f>
        <v>Beef Generated ₦401800 In Sales</v>
      </c>
      <c r="L23">
        <f>RANK(F23,F$2:F$61)</f>
        <v>22</v>
      </c>
      <c r="M23" s="6">
        <f ca="1">TODAY()</f>
        <v>46016</v>
      </c>
    </row>
    <row r="24" spans="1:13" x14ac:dyDescent="0.35">
      <c r="A24" t="s">
        <v>76</v>
      </c>
      <c r="B24" t="s">
        <v>136</v>
      </c>
      <c r="C24" t="s">
        <v>185</v>
      </c>
      <c r="D24">
        <v>10000</v>
      </c>
      <c r="E24">
        <v>40</v>
      </c>
      <c r="F24">
        <f>PRODUCT(D24:E24)</f>
        <v>400000</v>
      </c>
      <c r="G24">
        <f>AVERAGE(F24:F83)</f>
        <v>152407.89473684211</v>
      </c>
      <c r="H24" t="str">
        <f>IF(F24&gt;=AVERAGE(F$2:F$61),"High Performing","Low Performing")</f>
        <v>High Performing</v>
      </c>
      <c r="I24" t="str">
        <f>IF(D24&gt;=10000,"Premium",IF(D24&gt;=8000,"Standard","Low Cost"))</f>
        <v>Premium</v>
      </c>
      <c r="J24" t="str">
        <f>_xlfn.CONCAT(B24," Generated ₦",F24," In Sales")</f>
        <v>Indomitable Generated ₦400000 In Sales</v>
      </c>
      <c r="L24">
        <f>RANK(F24,F$2:F$61)</f>
        <v>23</v>
      </c>
      <c r="M24" s="6">
        <f ca="1">TODAY()</f>
        <v>46016</v>
      </c>
    </row>
    <row r="25" spans="1:13" x14ac:dyDescent="0.35">
      <c r="A25" t="s">
        <v>111</v>
      </c>
      <c r="B25" t="s">
        <v>171</v>
      </c>
      <c r="C25" t="s">
        <v>186</v>
      </c>
      <c r="D25">
        <v>4000</v>
      </c>
      <c r="E25">
        <v>100</v>
      </c>
      <c r="F25">
        <f>PRODUCT(D25:E25)</f>
        <v>400000</v>
      </c>
      <c r="G25">
        <f>AVERAGE(F25:F84)</f>
        <v>145716.21621621621</v>
      </c>
      <c r="H25" t="str">
        <f>IF(F25&gt;=AVERAGE(F$2:F$61),"High Performing","Low Performing")</f>
        <v>High Performing</v>
      </c>
      <c r="I25" t="str">
        <f>IF(D25&gt;=10000,"Premium",IF(D25&gt;=8000,"Standard","Low Cost"))</f>
        <v>Low Cost</v>
      </c>
      <c r="J25" t="str">
        <f>_xlfn.CONCAT(B25," Generated ₦",F25," In Sales")</f>
        <v>Candy Generated ₦400000 In Sales</v>
      </c>
      <c r="L25">
        <f>RANK(F25,F$2:F$61)</f>
        <v>23</v>
      </c>
      <c r="M25" s="6">
        <f ca="1">TODAY()</f>
        <v>46016</v>
      </c>
    </row>
    <row r="26" spans="1:13" x14ac:dyDescent="0.35">
      <c r="A26" t="s">
        <v>99</v>
      </c>
      <c r="B26" t="s">
        <v>159</v>
      </c>
      <c r="C26" t="s">
        <v>194</v>
      </c>
      <c r="D26">
        <v>5500</v>
      </c>
      <c r="E26">
        <v>60</v>
      </c>
      <c r="F26">
        <f>PRODUCT(D26:E26)</f>
        <v>330000</v>
      </c>
      <c r="G26">
        <f>AVERAGE(F26:F85)</f>
        <v>138652.77777777778</v>
      </c>
      <c r="H26" t="str">
        <f>IF(F26&gt;=AVERAGE(F$2:F$61),"High Performing","Low Performing")</f>
        <v>Low Performing</v>
      </c>
      <c r="I26" t="str">
        <f>IF(D26&gt;=10000,"Premium",IF(D26&gt;=8000,"Standard","Low Cost"))</f>
        <v>Low Cost</v>
      </c>
      <c r="J26" t="str">
        <f>_xlfn.CONCAT(B26," Generated ₦",F26," In Sales")</f>
        <v>Cabbage Generated ₦330000 In Sales</v>
      </c>
      <c r="L26">
        <f>RANK(F26,F$2:F$61)</f>
        <v>25</v>
      </c>
      <c r="M26" s="6">
        <f ca="1">TODAY()</f>
        <v>46016</v>
      </c>
    </row>
    <row r="27" spans="1:13" x14ac:dyDescent="0.35">
      <c r="A27" t="s">
        <v>102</v>
      </c>
      <c r="B27" t="s">
        <v>162</v>
      </c>
      <c r="C27" t="s">
        <v>195</v>
      </c>
      <c r="D27">
        <v>2600</v>
      </c>
      <c r="E27">
        <v>120</v>
      </c>
      <c r="F27">
        <f>PRODUCT(D27:E27)</f>
        <v>312000</v>
      </c>
      <c r="G27">
        <f>AVERAGE(F27:F86)</f>
        <v>133185.71428571429</v>
      </c>
      <c r="H27" t="str">
        <f>IF(F27&gt;=AVERAGE(F$2:F$61),"High Performing","Low Performing")</f>
        <v>Low Performing</v>
      </c>
      <c r="I27" t="str">
        <f>IF(D27&gt;=10000,"Premium",IF(D27&gt;=8000,"Standard","Low Cost"))</f>
        <v>Low Cost</v>
      </c>
      <c r="J27" t="str">
        <f>_xlfn.CONCAT(B27," Generated ₦",F27," In Sales")</f>
        <v>Banana Generated ₦312000 In Sales</v>
      </c>
      <c r="L27">
        <f>RANK(F27,F$2:F$61)</f>
        <v>26</v>
      </c>
      <c r="M27" s="6">
        <f ca="1">TODAY()</f>
        <v>46016</v>
      </c>
    </row>
    <row r="28" spans="1:13" x14ac:dyDescent="0.35">
      <c r="A28" t="s">
        <v>71</v>
      </c>
      <c r="B28" t="s">
        <v>131</v>
      </c>
      <c r="C28" t="s">
        <v>187</v>
      </c>
      <c r="D28">
        <v>15000</v>
      </c>
      <c r="E28">
        <v>20</v>
      </c>
      <c r="F28">
        <f>PRODUCT(D28:E28)</f>
        <v>300000</v>
      </c>
      <c r="G28">
        <f>AVERAGE(F28:F87)</f>
        <v>127926.4705882353</v>
      </c>
      <c r="H28" t="str">
        <f>IF(F28&gt;=AVERAGE(F$2:F$61),"High Performing","Low Performing")</f>
        <v>Low Performing</v>
      </c>
      <c r="I28" t="str">
        <f>IF(D28&gt;=10000,"Premium",IF(D28&gt;=8000,"Standard","Low Cost"))</f>
        <v>Premium</v>
      </c>
      <c r="J28" t="str">
        <f>_xlfn.CONCAT(B28," Generated ₦",F28," In Sales")</f>
        <v>Milk  Generated ₦300000 In Sales</v>
      </c>
      <c r="L28">
        <f>RANK(F28,F$2:F$61)</f>
        <v>27</v>
      </c>
      <c r="M28" s="6">
        <f ca="1">TODAY()</f>
        <v>46016</v>
      </c>
    </row>
    <row r="29" spans="1:13" x14ac:dyDescent="0.35">
      <c r="A29" t="s">
        <v>94</v>
      </c>
      <c r="B29" t="s">
        <v>154</v>
      </c>
      <c r="C29" t="s">
        <v>192</v>
      </c>
      <c r="D29">
        <v>32800</v>
      </c>
      <c r="E29">
        <v>9</v>
      </c>
      <c r="F29">
        <f>PRODUCT(D29:E29)</f>
        <v>295200</v>
      </c>
      <c r="G29">
        <f>AVERAGE(F29:F88)</f>
        <v>122712.12121212122</v>
      </c>
      <c r="H29" t="str">
        <f>IF(F29&gt;=AVERAGE(F$2:F$61),"High Performing","Low Performing")</f>
        <v>Low Performing</v>
      </c>
      <c r="I29" t="str">
        <f>IF(D29&gt;=10000,"Premium",IF(D29&gt;=8000,"Standard","Low Cost"))</f>
        <v>Premium</v>
      </c>
      <c r="J29" t="str">
        <f>_xlfn.CONCAT(B29," Generated ₦",F29," In Sales")</f>
        <v>Shrimp Generated ₦295200 In Sales</v>
      </c>
      <c r="L29">
        <f>RANK(F29,F$2:F$61)</f>
        <v>28</v>
      </c>
      <c r="M29" s="6">
        <f ca="1">TODAY()</f>
        <v>46016</v>
      </c>
    </row>
    <row r="30" spans="1:13" x14ac:dyDescent="0.35">
      <c r="A30" t="s">
        <v>83</v>
      </c>
      <c r="B30" t="s">
        <v>143</v>
      </c>
      <c r="C30" t="s">
        <v>187</v>
      </c>
      <c r="D30">
        <v>12600</v>
      </c>
      <c r="E30">
        <v>22</v>
      </c>
      <c r="F30">
        <f>PRODUCT(D30:E30)</f>
        <v>277200</v>
      </c>
      <c r="G30">
        <f>AVERAGE(F30:F89)</f>
        <v>117321.875</v>
      </c>
      <c r="H30" t="str">
        <f>IF(F30&gt;=AVERAGE(F$2:F$61),"High Performing","Low Performing")</f>
        <v>Low Performing</v>
      </c>
      <c r="I30" t="str">
        <f>IF(D30&gt;=10000,"Premium",IF(D30&gt;=8000,"Standard","Low Cost"))</f>
        <v>Premium</v>
      </c>
      <c r="J30" t="str">
        <f>_xlfn.CONCAT(B30," Generated ₦",F30," In Sales")</f>
        <v>Yogurt Generated ₦277200 In Sales</v>
      </c>
      <c r="L30">
        <f>RANK(F30,F$2:F$61)</f>
        <v>29</v>
      </c>
      <c r="M30" s="6">
        <f ca="1">TODAY()</f>
        <v>46016</v>
      </c>
    </row>
    <row r="31" spans="1:13" x14ac:dyDescent="0.35">
      <c r="A31" t="s">
        <v>86</v>
      </c>
      <c r="B31" t="s">
        <v>146</v>
      </c>
      <c r="C31" t="s">
        <v>188</v>
      </c>
      <c r="D31">
        <v>30500</v>
      </c>
      <c r="E31">
        <v>8</v>
      </c>
      <c r="F31">
        <f>PRODUCT(D31:E31)</f>
        <v>244000</v>
      </c>
      <c r="G31">
        <f>AVERAGE(F31:F90)</f>
        <v>112164.51612903226</v>
      </c>
      <c r="H31" t="str">
        <f>IF(F31&gt;=AVERAGE(F$2:F$61),"High Performing","Low Performing")</f>
        <v>Low Performing</v>
      </c>
      <c r="I31" t="str">
        <f>IF(D31&gt;=10000,"Premium",IF(D31&gt;=8000,"Standard","Low Cost"))</f>
        <v>Premium</v>
      </c>
      <c r="J31" t="str">
        <f>_xlfn.CONCAT(B31," Generated ₦",F31," In Sales")</f>
        <v>Cake Generated ₦244000 In Sales</v>
      </c>
      <c r="L31">
        <f>RANK(F31,F$2:F$61)</f>
        <v>30</v>
      </c>
      <c r="M31" s="6">
        <f ca="1">TODAY()</f>
        <v>46016</v>
      </c>
    </row>
    <row r="32" spans="1:13" x14ac:dyDescent="0.35">
      <c r="A32" t="s">
        <v>105</v>
      </c>
      <c r="B32" t="s">
        <v>165</v>
      </c>
      <c r="C32" t="s">
        <v>195</v>
      </c>
      <c r="D32">
        <v>2500</v>
      </c>
      <c r="E32">
        <v>90</v>
      </c>
      <c r="F32">
        <f>PRODUCT(D32:E32)</f>
        <v>225000</v>
      </c>
      <c r="G32">
        <f>AVERAGE(F32:F91)</f>
        <v>107770</v>
      </c>
      <c r="H32" t="str">
        <f>IF(F32&gt;=AVERAGE(F$2:F$61),"High Performing","Low Performing")</f>
        <v>Low Performing</v>
      </c>
      <c r="I32" t="str">
        <f>IF(D32&gt;=10000,"Premium",IF(D32&gt;=8000,"Standard","Low Cost"))</f>
        <v>Low Cost</v>
      </c>
      <c r="J32" t="str">
        <f>_xlfn.CONCAT(B32," Generated ₦",F32," In Sales")</f>
        <v>Mango Generated ₦225000 In Sales</v>
      </c>
      <c r="L32">
        <f>RANK(F32,F$2:F$61)</f>
        <v>31</v>
      </c>
      <c r="M32" s="6">
        <f ca="1">TODAY()</f>
        <v>46016</v>
      </c>
    </row>
    <row r="33" spans="1:13" x14ac:dyDescent="0.35">
      <c r="A33" t="s">
        <v>123</v>
      </c>
      <c r="B33" t="s">
        <v>183</v>
      </c>
      <c r="C33" t="s">
        <v>189</v>
      </c>
      <c r="D33">
        <v>4500</v>
      </c>
      <c r="E33">
        <v>50</v>
      </c>
      <c r="F33">
        <f>PRODUCT(D33:E33)</f>
        <v>225000</v>
      </c>
      <c r="G33">
        <f>AVERAGE(F33:F92)</f>
        <v>103727.58620689655</v>
      </c>
      <c r="H33" t="str">
        <f>IF(F33&gt;=AVERAGE(F$2:F$61),"High Performing","Low Performing")</f>
        <v>Low Performing</v>
      </c>
      <c r="I33" t="str">
        <f>IF(D33&gt;=10000,"Premium",IF(D33&gt;=8000,"Standard","Low Cost"))</f>
        <v>Low Cost</v>
      </c>
      <c r="J33" t="str">
        <f>_xlfn.CONCAT(B33," Generated ₦",F33," In Sales")</f>
        <v>Green Tea Generated ₦225000 In Sales</v>
      </c>
      <c r="L33">
        <f>RANK(F33,F$2:F$61)</f>
        <v>31</v>
      </c>
      <c r="M33" s="6">
        <f ca="1">TODAY()</f>
        <v>46016</v>
      </c>
    </row>
    <row r="34" spans="1:13" x14ac:dyDescent="0.35">
      <c r="A34" t="s">
        <v>68</v>
      </c>
      <c r="B34" t="s">
        <v>128</v>
      </c>
      <c r="C34" t="s">
        <v>186</v>
      </c>
      <c r="D34">
        <v>20000</v>
      </c>
      <c r="E34">
        <v>10</v>
      </c>
      <c r="F34">
        <f>PRODUCT(D34:E34)</f>
        <v>200000</v>
      </c>
      <c r="G34">
        <f>AVERAGE(F34:F93)</f>
        <v>99396.428571428565</v>
      </c>
      <c r="H34" t="str">
        <f>IF(F34&gt;=AVERAGE(F$2:F$61),"High Performing","Low Performing")</f>
        <v>Low Performing</v>
      </c>
      <c r="I34" t="str">
        <f>IF(D34&gt;=10000,"Premium",IF(D34&gt;=8000,"Standard","Low Cost"))</f>
        <v>Premium</v>
      </c>
      <c r="J34" t="str">
        <f>_xlfn.CONCAT(B34," Generated ₦",F34," In Sales")</f>
        <v>Red Oil Generated ₦200000 In Sales</v>
      </c>
      <c r="L34">
        <f>RANK(F34,F$2:F$61)</f>
        <v>33</v>
      </c>
      <c r="M34" s="6">
        <f ca="1">TODAY()</f>
        <v>46016</v>
      </c>
    </row>
    <row r="35" spans="1:13" x14ac:dyDescent="0.35">
      <c r="A35" t="s">
        <v>69</v>
      </c>
      <c r="B35" t="s">
        <v>129</v>
      </c>
      <c r="C35" t="s">
        <v>186</v>
      </c>
      <c r="D35">
        <v>20000</v>
      </c>
      <c r="E35">
        <v>10</v>
      </c>
      <c r="F35">
        <f>PRODUCT(D35:E35)</f>
        <v>200000</v>
      </c>
      <c r="G35">
        <f>AVERAGE(F35:F94)</f>
        <v>95670.370370370365</v>
      </c>
      <c r="H35" t="str">
        <f>IF(F35&gt;=AVERAGE(F$2:F$61),"High Performing","Low Performing")</f>
        <v>Low Performing</v>
      </c>
      <c r="I35" t="str">
        <f>IF(D35&gt;=10000,"Premium",IF(D35&gt;=8000,"Standard","Low Cost"))</f>
        <v>Premium</v>
      </c>
      <c r="J35" t="str">
        <f>_xlfn.CONCAT(B35," Generated ₦",F35," In Sales")</f>
        <v>Groundnut Oil Generated ₦200000 In Sales</v>
      </c>
      <c r="L35">
        <f>RANK(F35,F$2:F$61)</f>
        <v>33</v>
      </c>
      <c r="M35" s="6">
        <f ca="1">TODAY()</f>
        <v>46016</v>
      </c>
    </row>
    <row r="36" spans="1:13" x14ac:dyDescent="0.35">
      <c r="A36" t="s">
        <v>100</v>
      </c>
      <c r="B36" t="s">
        <v>160</v>
      </c>
      <c r="C36" t="s">
        <v>194</v>
      </c>
      <c r="D36">
        <v>4800</v>
      </c>
      <c r="E36">
        <v>40</v>
      </c>
      <c r="F36">
        <f>PRODUCT(D36:E36)</f>
        <v>192000</v>
      </c>
      <c r="G36">
        <f>AVERAGE(F36:F95)</f>
        <v>91657.692307692312</v>
      </c>
      <c r="H36" t="str">
        <f>IF(F36&gt;=AVERAGE(F$2:F$61),"High Performing","Low Performing")</f>
        <v>Low Performing</v>
      </c>
      <c r="I36" t="str">
        <f>IF(D36&gt;=10000,"Premium",IF(D36&gt;=8000,"Standard","Low Cost"))</f>
        <v>Low Cost</v>
      </c>
      <c r="J36" t="str">
        <f>_xlfn.CONCAT(B36," Generated ₦",F36," In Sales")</f>
        <v>Lettuce Generated ₦192000 In Sales</v>
      </c>
      <c r="L36">
        <f>RANK(F36,F$2:F$61)</f>
        <v>35</v>
      </c>
      <c r="M36" s="6">
        <f ca="1">TODAY()</f>
        <v>46016</v>
      </c>
    </row>
    <row r="37" spans="1:13" x14ac:dyDescent="0.35">
      <c r="A37" t="s">
        <v>67</v>
      </c>
      <c r="B37" t="s">
        <v>127</v>
      </c>
      <c r="C37" t="s">
        <v>185</v>
      </c>
      <c r="D37">
        <v>12000</v>
      </c>
      <c r="E37">
        <v>15</v>
      </c>
      <c r="F37">
        <f>PRODUCT(D37:E37)</f>
        <v>180000</v>
      </c>
      <c r="G37">
        <f>AVERAGE(F37:F96)</f>
        <v>87644</v>
      </c>
      <c r="H37" t="str">
        <f>IF(F37&gt;=AVERAGE(F$2:F$61),"High Performing","Low Performing")</f>
        <v>Low Performing</v>
      </c>
      <c r="I37" t="str">
        <f>IF(D37&gt;=10000,"Premium",IF(D37&gt;=8000,"Standard","Low Cost"))</f>
        <v>Premium</v>
      </c>
      <c r="J37" t="str">
        <f>_xlfn.CONCAT(B37," Generated ₦",F37," In Sales")</f>
        <v>Spaghetti Generated ₦180000 In Sales</v>
      </c>
      <c r="K37" t="e">
        <f>VLOOKUP(K35,A35:F94,4,FALSE)</f>
        <v>#N/A</v>
      </c>
      <c r="L37">
        <f>RANK(F37,F$2:F$61)</f>
        <v>36</v>
      </c>
      <c r="M37" s="6">
        <f ca="1">TODAY()</f>
        <v>46016</v>
      </c>
    </row>
    <row r="38" spans="1:13" x14ac:dyDescent="0.35">
      <c r="A38" t="s">
        <v>79</v>
      </c>
      <c r="B38" t="s">
        <v>139</v>
      </c>
      <c r="C38" t="s">
        <v>186</v>
      </c>
      <c r="D38">
        <v>15000</v>
      </c>
      <c r="E38">
        <v>10</v>
      </c>
      <c r="F38">
        <f>PRODUCT(D38:E38)</f>
        <v>150000</v>
      </c>
      <c r="G38">
        <f>AVERAGE(F38:F97)</f>
        <v>83795.833333333328</v>
      </c>
      <c r="H38" t="str">
        <f>IF(F38&gt;=AVERAGE(F$2:F$61),"High Performing","Low Performing")</f>
        <v>Low Performing</v>
      </c>
      <c r="I38" t="str">
        <f>IF(D38&gt;=10000,"Premium",IF(D38&gt;=8000,"Standard","Low Cost"))</f>
        <v>Premium</v>
      </c>
      <c r="J38" t="str">
        <f>_xlfn.CONCAT(B38," Generated ₦",F38," In Sales")</f>
        <v>Wheat Generated ₦150000 In Sales</v>
      </c>
      <c r="L38">
        <f>RANK(F38,F$2:F$61)</f>
        <v>37</v>
      </c>
      <c r="M38" s="6">
        <f ca="1">TODAY()</f>
        <v>46016</v>
      </c>
    </row>
    <row r="39" spans="1:13" x14ac:dyDescent="0.35">
      <c r="A39" t="s">
        <v>109</v>
      </c>
      <c r="B39" t="s">
        <v>169</v>
      </c>
      <c r="C39" t="s">
        <v>187</v>
      </c>
      <c r="D39">
        <v>5000</v>
      </c>
      <c r="E39">
        <v>30</v>
      </c>
      <c r="F39">
        <f>PRODUCT(D39:E39)</f>
        <v>150000</v>
      </c>
      <c r="G39">
        <f>AVERAGE(F39:F98)</f>
        <v>80917.391304347824</v>
      </c>
      <c r="H39" t="str">
        <f>IF(F39&gt;=AVERAGE(F$2:F$61),"High Performing","Low Performing")</f>
        <v>Low Performing</v>
      </c>
      <c r="I39" t="str">
        <f>IF(D39&gt;=10000,"Premium",IF(D39&gt;=8000,"Standard","Low Cost"))</f>
        <v>Low Cost</v>
      </c>
      <c r="J39" t="str">
        <f>_xlfn.CONCAT(B39," Generated ₦",F39," In Sales")</f>
        <v>Ice Cream Generated ₦150000 In Sales</v>
      </c>
      <c r="L39">
        <f>RANK(F39,F$2:F$61)</f>
        <v>37</v>
      </c>
      <c r="M39" s="6">
        <f ca="1">TODAY()</f>
        <v>46016</v>
      </c>
    </row>
    <row r="40" spans="1:13" x14ac:dyDescent="0.35">
      <c r="A40" t="s">
        <v>84</v>
      </c>
      <c r="B40" t="s">
        <v>144</v>
      </c>
      <c r="C40" t="s">
        <v>187</v>
      </c>
      <c r="D40">
        <v>12000</v>
      </c>
      <c r="E40">
        <v>12</v>
      </c>
      <c r="F40">
        <f>PRODUCT(D40:E40)</f>
        <v>144000</v>
      </c>
      <c r="G40">
        <f>AVERAGE(F40:F99)</f>
        <v>77777.272727272721</v>
      </c>
      <c r="H40" t="str">
        <f>IF(F40&gt;=AVERAGE(F$2:F$61),"High Performing","Low Performing")</f>
        <v>Low Performing</v>
      </c>
      <c r="I40" t="str">
        <f>IF(D40&gt;=10000,"Premium",IF(D40&gt;=8000,"Standard","Low Cost"))</f>
        <v>Premium</v>
      </c>
      <c r="J40" t="str">
        <f>_xlfn.CONCAT(B40," Generated ₦",F40," In Sales")</f>
        <v>Cheese Generated ₦144000 In Sales</v>
      </c>
      <c r="L40">
        <f>RANK(F40,F$2:F$61)</f>
        <v>39</v>
      </c>
      <c r="M40" s="6">
        <f ca="1">TODAY()</f>
        <v>46016</v>
      </c>
    </row>
    <row r="41" spans="1:13" x14ac:dyDescent="0.35">
      <c r="A41" t="s">
        <v>124</v>
      </c>
      <c r="B41" t="s">
        <v>184</v>
      </c>
      <c r="C41" t="s">
        <v>189</v>
      </c>
      <c r="D41">
        <v>20500</v>
      </c>
      <c r="E41">
        <v>7</v>
      </c>
      <c r="F41">
        <f>PRODUCT(D41:E41)</f>
        <v>143500</v>
      </c>
      <c r="G41">
        <f>AVERAGE(F41:F100)</f>
        <v>74623.809523809527</v>
      </c>
      <c r="H41" t="str">
        <f>IF(F41&gt;=AVERAGE(F$2:F$61),"High Performing","Low Performing")</f>
        <v>Low Performing</v>
      </c>
      <c r="I41" t="str">
        <f>IF(D41&gt;=10000,"Premium",IF(D41&gt;=8000,"Standard","Low Cost"))</f>
        <v>Premium</v>
      </c>
      <c r="J41" t="str">
        <f>_xlfn.CONCAT(B41," Generated ₦",F41," In Sales")</f>
        <v>Energy Drink Generated ₦143500 In Sales</v>
      </c>
      <c r="L41">
        <f>RANK(F41,F$2:F$61)</f>
        <v>40</v>
      </c>
      <c r="M41" s="6">
        <f ca="1">TODAY()</f>
        <v>46016</v>
      </c>
    </row>
    <row r="42" spans="1:13" x14ac:dyDescent="0.35">
      <c r="A42" t="s">
        <v>106</v>
      </c>
      <c r="B42" t="s">
        <v>166</v>
      </c>
      <c r="C42" t="s">
        <v>195</v>
      </c>
      <c r="D42">
        <v>3400</v>
      </c>
      <c r="E42">
        <v>40</v>
      </c>
      <c r="F42">
        <f>PRODUCT(D42:E42)</f>
        <v>136000</v>
      </c>
      <c r="G42">
        <f>AVERAGE(F42:F101)</f>
        <v>71180</v>
      </c>
      <c r="H42" t="str">
        <f>IF(F42&gt;=AVERAGE(F$2:F$61),"High Performing","Low Performing")</f>
        <v>Low Performing</v>
      </c>
      <c r="I42" t="str">
        <f>IF(D42&gt;=10000,"Premium",IF(D42&gt;=8000,"Standard","Low Cost"))</f>
        <v>Low Cost</v>
      </c>
      <c r="J42" t="str">
        <f>_xlfn.CONCAT(B42," Generated ₦",F42," In Sales")</f>
        <v>Grapes Generated ₦136000 In Sales</v>
      </c>
      <c r="L42">
        <f>RANK(F42,F$2:F$61)</f>
        <v>41</v>
      </c>
      <c r="M42" s="6">
        <f ca="1">TODAY()</f>
        <v>46016</v>
      </c>
    </row>
    <row r="43" spans="1:13" x14ac:dyDescent="0.35">
      <c r="A43" t="s">
        <v>103</v>
      </c>
      <c r="B43" t="s">
        <v>163</v>
      </c>
      <c r="C43" t="s">
        <v>195</v>
      </c>
      <c r="D43">
        <v>2600</v>
      </c>
      <c r="E43">
        <v>50</v>
      </c>
      <c r="F43">
        <f>PRODUCT(D43:E43)</f>
        <v>130000</v>
      </c>
      <c r="G43">
        <f>AVERAGE(F43:F102)</f>
        <v>67768.421052631573</v>
      </c>
      <c r="H43" t="str">
        <f>IF(F43&gt;=AVERAGE(F$2:F$61),"High Performing","Low Performing")</f>
        <v>Low Performing</v>
      </c>
      <c r="I43" t="str">
        <f>IF(D43&gt;=10000,"Premium",IF(D43&gt;=8000,"Standard","Low Cost"))</f>
        <v>Low Cost</v>
      </c>
      <c r="J43" t="str">
        <f>_xlfn.CONCAT(B43," Generated ₦",F43," In Sales")</f>
        <v>Pineapple Generated ₦130000 In Sales</v>
      </c>
      <c r="L43">
        <f>RANK(F43,F$2:F$61)</f>
        <v>42</v>
      </c>
      <c r="M43" s="6">
        <f ca="1">TODAY()</f>
        <v>46016</v>
      </c>
    </row>
    <row r="44" spans="1:13" x14ac:dyDescent="0.35">
      <c r="A44" t="s">
        <v>115</v>
      </c>
      <c r="B44" t="s">
        <v>175</v>
      </c>
      <c r="C44" t="s">
        <v>188</v>
      </c>
      <c r="D44">
        <v>12500</v>
      </c>
      <c r="E44">
        <v>10</v>
      </c>
      <c r="F44">
        <f>PRODUCT(D44:E44)</f>
        <v>125000</v>
      </c>
      <c r="G44">
        <f>AVERAGE(F44:F103)</f>
        <v>64311.111111111109</v>
      </c>
      <c r="H44" t="str">
        <f>IF(F44&gt;=AVERAGE(F$2:F$61),"High Performing","Low Performing")</f>
        <v>Low Performing</v>
      </c>
      <c r="I44" t="str">
        <f>IF(D44&gt;=10000,"Premium",IF(D44&gt;=8000,"Standard","Low Cost"))</f>
        <v>Premium</v>
      </c>
      <c r="J44" t="str">
        <f>_xlfn.CONCAT(B44," Generated ₦",F44," In Sales")</f>
        <v>Pizza Generated ₦125000 In Sales</v>
      </c>
      <c r="L44">
        <f>RANK(F44,F$2:F$61)</f>
        <v>43</v>
      </c>
      <c r="M44" s="6">
        <f ca="1">TODAY()</f>
        <v>46016</v>
      </c>
    </row>
    <row r="45" spans="1:13" x14ac:dyDescent="0.35">
      <c r="A45" t="s">
        <v>73</v>
      </c>
      <c r="B45" t="s">
        <v>133</v>
      </c>
      <c r="C45" t="s">
        <v>187</v>
      </c>
      <c r="D45">
        <v>10000</v>
      </c>
      <c r="E45">
        <v>10</v>
      </c>
      <c r="F45">
        <f>PRODUCT(D45:E45)</f>
        <v>100000</v>
      </c>
      <c r="G45">
        <f>AVERAGE(F45:F104)</f>
        <v>60741.176470588238</v>
      </c>
      <c r="H45" t="str">
        <f>IF(F45&gt;=AVERAGE(F$2:F$61),"High Performing","Low Performing")</f>
        <v>Low Performing</v>
      </c>
      <c r="I45" t="str">
        <f>IF(D45&gt;=10000,"Premium",IF(D45&gt;=8000,"Standard","Low Cost"))</f>
        <v>Premium</v>
      </c>
      <c r="J45" t="str">
        <f>_xlfn.CONCAT(B45," Generated ₦",F45," In Sales")</f>
        <v>Butter Generated ₦100000 In Sales</v>
      </c>
      <c r="L45">
        <f>RANK(F45,F$2:F$61)</f>
        <v>44</v>
      </c>
      <c r="M45" s="6">
        <f ca="1">TODAY()</f>
        <v>46016</v>
      </c>
    </row>
    <row r="46" spans="1:13" x14ac:dyDescent="0.35">
      <c r="A46" t="s">
        <v>104</v>
      </c>
      <c r="B46" t="s">
        <v>164</v>
      </c>
      <c r="C46" t="s">
        <v>195</v>
      </c>
      <c r="D46">
        <v>1500</v>
      </c>
      <c r="E46">
        <v>65</v>
      </c>
      <c r="F46">
        <f>PRODUCT(D46:E46)</f>
        <v>97500</v>
      </c>
      <c r="G46">
        <f>AVERAGE(F46:F105)</f>
        <v>58287.5</v>
      </c>
      <c r="H46" t="str">
        <f>IF(F46&gt;=AVERAGE(F$2:F$61),"High Performing","Low Performing")</f>
        <v>Low Performing</v>
      </c>
      <c r="I46" t="str">
        <f>IF(D46&gt;=10000,"Premium",IF(D46&gt;=8000,"Standard","Low Cost"))</f>
        <v>Low Cost</v>
      </c>
      <c r="J46" t="str">
        <f>_xlfn.CONCAT(B46," Generated ₦",F46," In Sales")</f>
        <v>Orange Generated ₦97500 In Sales</v>
      </c>
      <c r="L46">
        <f>RANK(F46,F$2:F$61)</f>
        <v>45</v>
      </c>
      <c r="M46" s="6">
        <f ca="1">TODAY()</f>
        <v>46016</v>
      </c>
    </row>
    <row r="47" spans="1:13" x14ac:dyDescent="0.35">
      <c r="A47" t="s">
        <v>122</v>
      </c>
      <c r="B47" t="s">
        <v>182</v>
      </c>
      <c r="C47" t="s">
        <v>185</v>
      </c>
      <c r="D47">
        <v>4000</v>
      </c>
      <c r="E47">
        <v>24</v>
      </c>
      <c r="F47">
        <f>PRODUCT(D47:E47)</f>
        <v>96000</v>
      </c>
      <c r="G47">
        <f>AVERAGE(F47:F106)</f>
        <v>55673.333333333336</v>
      </c>
      <c r="H47" t="str">
        <f>IF(F47&gt;=AVERAGE(F$2:F$61),"High Performing","Low Performing")</f>
        <v>Low Performing</v>
      </c>
      <c r="I47" t="str">
        <f>IF(D47&gt;=10000,"Premium",IF(D47&gt;=8000,"Standard","Low Cost"))</f>
        <v>Low Cost</v>
      </c>
      <c r="J47" t="str">
        <f>_xlfn.CONCAT(B47," Generated ₦",F47," In Sales")</f>
        <v>Cornflakes Generated ₦96000 In Sales</v>
      </c>
      <c r="L47">
        <f>RANK(F47,F$2:F$61)</f>
        <v>46</v>
      </c>
      <c r="M47" s="6">
        <f ca="1">TODAY()</f>
        <v>46016</v>
      </c>
    </row>
    <row r="48" spans="1:13" x14ac:dyDescent="0.35">
      <c r="A48" t="s">
        <v>113</v>
      </c>
      <c r="B48" t="s">
        <v>173</v>
      </c>
      <c r="C48" t="s">
        <v>188</v>
      </c>
      <c r="D48">
        <v>2700</v>
      </c>
      <c r="E48">
        <v>30</v>
      </c>
      <c r="F48">
        <f>PRODUCT(D48:E48)</f>
        <v>81000</v>
      </c>
      <c r="G48">
        <f>AVERAGE(F48:F107)</f>
        <v>52792.857142857145</v>
      </c>
      <c r="H48" t="str">
        <f>IF(F48&gt;=AVERAGE(F$2:F$61),"High Performing","Low Performing")</f>
        <v>Low Performing</v>
      </c>
      <c r="I48" t="str">
        <f>IF(D48&gt;=10000,"Premium",IF(D48&gt;=8000,"Standard","Low Cost"))</f>
        <v>Low Cost</v>
      </c>
      <c r="J48" t="str">
        <f>_xlfn.CONCAT(B48," Generated ₦",F48," In Sales")</f>
        <v>Cookies Generated ₦81000 In Sales</v>
      </c>
      <c r="L48">
        <f>RANK(F48,F$2:F$61)</f>
        <v>47</v>
      </c>
      <c r="M48" s="6">
        <f ca="1">TODAY()</f>
        <v>46016</v>
      </c>
    </row>
    <row r="49" spans="1:13" x14ac:dyDescent="0.35">
      <c r="A49" t="s">
        <v>118</v>
      </c>
      <c r="B49" t="s">
        <v>178</v>
      </c>
      <c r="C49" t="s">
        <v>188</v>
      </c>
      <c r="D49">
        <v>6200</v>
      </c>
      <c r="E49">
        <v>13</v>
      </c>
      <c r="F49">
        <f>PRODUCT(D49:E49)</f>
        <v>80600</v>
      </c>
      <c r="G49">
        <f>AVERAGE(F49:F108)</f>
        <v>50623.076923076922</v>
      </c>
      <c r="H49" t="str">
        <f>IF(F49&gt;=AVERAGE(F$2:F$61),"High Performing","Low Performing")</f>
        <v>Low Performing</v>
      </c>
      <c r="I49" t="str">
        <f>IF(D49&gt;=10000,"Premium",IF(D49&gt;=8000,"Standard","Low Cost"))</f>
        <v>Low Cost</v>
      </c>
      <c r="J49" t="str">
        <f>_xlfn.CONCAT(B49," Generated ₦",F49," In Sales")</f>
        <v>Pan Cakes Generated ₦80600 In Sales</v>
      </c>
      <c r="L49">
        <f>RANK(F49,F$2:F$61)</f>
        <v>48</v>
      </c>
      <c r="M49" s="6">
        <f ca="1">TODAY()</f>
        <v>46016</v>
      </c>
    </row>
    <row r="50" spans="1:13" x14ac:dyDescent="0.35">
      <c r="A50" t="s">
        <v>116</v>
      </c>
      <c r="B50" t="s">
        <v>176</v>
      </c>
      <c r="C50" t="s">
        <v>188</v>
      </c>
      <c r="D50">
        <v>5000</v>
      </c>
      <c r="E50">
        <v>15</v>
      </c>
      <c r="F50">
        <f>PRODUCT(D50:E50)</f>
        <v>75000</v>
      </c>
      <c r="G50">
        <f>AVERAGE(F50:F109)</f>
        <v>48125</v>
      </c>
      <c r="H50" t="str">
        <f>IF(F50&gt;=AVERAGE(F$2:F$61),"High Performing","Low Performing")</f>
        <v>Low Performing</v>
      </c>
      <c r="I50" t="str">
        <f>IF(D50&gt;=10000,"Premium",IF(D50&gt;=8000,"Standard","Low Cost"))</f>
        <v>Low Cost</v>
      </c>
      <c r="J50" t="str">
        <f>_xlfn.CONCAT(B50," Generated ₦",F50," In Sales")</f>
        <v>Burger Generated ₦75000 In Sales</v>
      </c>
      <c r="L50">
        <f>RANK(F50,F$2:F$61)</f>
        <v>49</v>
      </c>
      <c r="M50" s="6">
        <f ca="1">TODAY()</f>
        <v>46016</v>
      </c>
    </row>
    <row r="51" spans="1:13" x14ac:dyDescent="0.35">
      <c r="A51" t="s">
        <v>119</v>
      </c>
      <c r="B51" t="s">
        <v>179</v>
      </c>
      <c r="C51" t="s">
        <v>188</v>
      </c>
      <c r="D51">
        <v>1500</v>
      </c>
      <c r="E51">
        <v>50</v>
      </c>
      <c r="F51">
        <f>PRODUCT(D51:E51)</f>
        <v>75000</v>
      </c>
      <c r="G51">
        <f>AVERAGE(F51:F110)</f>
        <v>45681.818181818184</v>
      </c>
      <c r="H51" t="str">
        <f>IF(F51&gt;=AVERAGE(F$2:F$61),"High Performing","Low Performing")</f>
        <v>Low Performing</v>
      </c>
      <c r="I51" t="str">
        <f>IF(D51&gt;=10000,"Premium",IF(D51&gt;=8000,"Standard","Low Cost"))</f>
        <v>Low Cost</v>
      </c>
      <c r="J51" t="str">
        <f>_xlfn.CONCAT(B51," Generated ₦",F51," In Sales")</f>
        <v>Eggroll Generated ₦75000 In Sales</v>
      </c>
      <c r="L51">
        <f>RANK(F51,F$2:F$61)</f>
        <v>49</v>
      </c>
      <c r="M51" s="6">
        <f ca="1">TODAY()</f>
        <v>46016</v>
      </c>
    </row>
    <row r="52" spans="1:13" x14ac:dyDescent="0.35">
      <c r="A52" t="s">
        <v>110</v>
      </c>
      <c r="B52" t="s">
        <v>170</v>
      </c>
      <c r="C52" t="s">
        <v>186</v>
      </c>
      <c r="D52">
        <v>3600</v>
      </c>
      <c r="E52">
        <v>20</v>
      </c>
      <c r="F52">
        <f>PRODUCT(D52:E52)</f>
        <v>72000</v>
      </c>
      <c r="G52">
        <f>AVERAGE(F52:F111)</f>
        <v>42750</v>
      </c>
      <c r="H52" t="str">
        <f>IF(F52&gt;=AVERAGE(F$2:F$61),"High Performing","Low Performing")</f>
        <v>Low Performing</v>
      </c>
      <c r="I52" t="str">
        <f>IF(D52&gt;=10000,"Premium",IF(D52&gt;=8000,"Standard","Low Cost"))</f>
        <v>Low Cost</v>
      </c>
      <c r="J52" t="str">
        <f>_xlfn.CONCAT(B52," Generated ₦",F52," In Sales")</f>
        <v>Jam Generated ₦72000 In Sales</v>
      </c>
      <c r="L52">
        <f>RANK(F52,F$2:F$61)</f>
        <v>51</v>
      </c>
      <c r="M52" s="6">
        <f ca="1">TODAY()</f>
        <v>46016</v>
      </c>
    </row>
    <row r="53" spans="1:13" x14ac:dyDescent="0.35">
      <c r="A53" t="s">
        <v>121</v>
      </c>
      <c r="B53" t="s">
        <v>181</v>
      </c>
      <c r="C53" t="s">
        <v>185</v>
      </c>
      <c r="D53">
        <v>2500</v>
      </c>
      <c r="E53">
        <v>22</v>
      </c>
      <c r="F53">
        <f>PRODUCT(D53:E53)</f>
        <v>55000</v>
      </c>
      <c r="G53">
        <f>AVERAGE(F53:F112)</f>
        <v>39500</v>
      </c>
      <c r="H53" t="str">
        <f>IF(F53&gt;=AVERAGE(F$2:F$61),"High Performing","Low Performing")</f>
        <v>Low Performing</v>
      </c>
      <c r="I53" t="str">
        <f>IF(D53&gt;=10000,"Premium",IF(D53&gt;=8000,"Standard","Low Cost"))</f>
        <v>Low Cost</v>
      </c>
      <c r="J53" t="str">
        <f>_xlfn.CONCAT(B53," Generated ₦",F53," In Sales")</f>
        <v>Oats Generated ₦55000 In Sales</v>
      </c>
      <c r="L53">
        <f>RANK(F53,F$2:F$61)</f>
        <v>52</v>
      </c>
      <c r="M53" s="6">
        <f ca="1">TODAY()</f>
        <v>46016</v>
      </c>
    </row>
    <row r="54" spans="1:13" x14ac:dyDescent="0.35">
      <c r="A54" t="s">
        <v>114</v>
      </c>
      <c r="B54" t="s">
        <v>174</v>
      </c>
      <c r="C54" t="s">
        <v>188</v>
      </c>
      <c r="D54">
        <v>5000</v>
      </c>
      <c r="E54">
        <v>10</v>
      </c>
      <c r="F54">
        <f>PRODUCT(D54:E54)</f>
        <v>50000</v>
      </c>
      <c r="G54">
        <f>AVERAGE(F54:F113)</f>
        <v>37562.5</v>
      </c>
      <c r="H54" t="str">
        <f>IF(F54&gt;=AVERAGE(F$2:F$61),"High Performing","Low Performing")</f>
        <v>Low Performing</v>
      </c>
      <c r="I54" t="str">
        <f>IF(D54&gt;=10000,"Premium",IF(D54&gt;=8000,"Standard","Low Cost"))</f>
        <v>Low Cost</v>
      </c>
      <c r="J54" t="str">
        <f>_xlfn.CONCAT(B54," Generated ₦",F54," In Sales")</f>
        <v>Shawarma Generated ₦50000 In Sales</v>
      </c>
      <c r="L54">
        <f>RANK(F54,F$2:F$61)</f>
        <v>53</v>
      </c>
      <c r="M54" s="6">
        <f ca="1">TODAY()</f>
        <v>46016</v>
      </c>
    </row>
    <row r="55" spans="1:13" x14ac:dyDescent="0.35">
      <c r="A55" t="s">
        <v>117</v>
      </c>
      <c r="B55" t="s">
        <v>177</v>
      </c>
      <c r="C55" t="s">
        <v>188</v>
      </c>
      <c r="D55">
        <v>2500</v>
      </c>
      <c r="E55">
        <v>20</v>
      </c>
      <c r="F55">
        <f>PRODUCT(D55:E55)</f>
        <v>50000</v>
      </c>
      <c r="G55">
        <f>AVERAGE(F55:F114)</f>
        <v>35785.714285714283</v>
      </c>
      <c r="H55" t="str">
        <f>IF(F55&gt;=AVERAGE(F$2:F$61),"High Performing","Low Performing")</f>
        <v>Low Performing</v>
      </c>
      <c r="I55" t="str">
        <f>IF(D55&gt;=10000,"Premium",IF(D55&gt;=8000,"Standard","Low Cost"))</f>
        <v>Low Cost</v>
      </c>
      <c r="J55" t="str">
        <f>_xlfn.CONCAT(B55," Generated ₦",F55," In Sales")</f>
        <v>Meat Pie Generated ₦50000 In Sales</v>
      </c>
      <c r="L55">
        <f>RANK(F55,F$2:F$61)</f>
        <v>53</v>
      </c>
      <c r="M55" s="6">
        <f ca="1">TODAY()</f>
        <v>46016</v>
      </c>
    </row>
    <row r="56" spans="1:13" x14ac:dyDescent="0.35">
      <c r="A56" t="s">
        <v>75</v>
      </c>
      <c r="B56" t="s">
        <v>135</v>
      </c>
      <c r="C56" t="s">
        <v>190</v>
      </c>
      <c r="D56">
        <v>4000</v>
      </c>
      <c r="E56">
        <v>12</v>
      </c>
      <c r="F56">
        <f>PRODUCT(D56:E56)</f>
        <v>48000</v>
      </c>
      <c r="G56">
        <f>AVERAGE(F56:F115)</f>
        <v>33416.666666666664</v>
      </c>
      <c r="H56" t="str">
        <f>IF(F56&gt;=AVERAGE(F$2:F$61),"High Performing","Low Performing")</f>
        <v>Low Performing</v>
      </c>
      <c r="I56" t="str">
        <f>IF(D56&gt;=10000,"Premium",IF(D56&gt;=8000,"Standard","Low Cost"))</f>
        <v>Low Cost</v>
      </c>
      <c r="J56" t="str">
        <f>_xlfn.CONCAT(B56," Generated ₦",F56," In Sales")</f>
        <v>Chocolate Generated ₦48000 In Sales</v>
      </c>
      <c r="L56">
        <f>RANK(F56,F$2:F$61)</f>
        <v>55</v>
      </c>
      <c r="M56" s="6">
        <f ca="1">TODAY()</f>
        <v>46016</v>
      </c>
    </row>
    <row r="57" spans="1:13" x14ac:dyDescent="0.35">
      <c r="A57" t="s">
        <v>120</v>
      </c>
      <c r="B57" t="s">
        <v>180</v>
      </c>
      <c r="C57" t="s">
        <v>191</v>
      </c>
      <c r="D57">
        <v>1500</v>
      </c>
      <c r="E57">
        <v>30</v>
      </c>
      <c r="F57">
        <f>PRODUCT(D57:E57)</f>
        <v>45000</v>
      </c>
      <c r="G57">
        <f>AVERAGE(F57:F116)</f>
        <v>30500</v>
      </c>
      <c r="H57" t="str">
        <f>IF(F57&gt;=AVERAGE(F$2:F$61),"High Performing","Low Performing")</f>
        <v>Low Performing</v>
      </c>
      <c r="I57" t="str">
        <f>IF(D57&gt;=10000,"Premium",IF(D57&gt;=8000,"Standard","Low Cost"))</f>
        <v>Low Cost</v>
      </c>
      <c r="J57" t="str">
        <f>_xlfn.CONCAT(B57," Generated ₦",F57," In Sales")</f>
        <v>Hotdog Generated ₦45000 In Sales</v>
      </c>
      <c r="L57">
        <f>RANK(F57,F$2:F$61)</f>
        <v>56</v>
      </c>
      <c r="M57" s="6">
        <f ca="1">TODAY()</f>
        <v>46016</v>
      </c>
    </row>
    <row r="58" spans="1:13" x14ac:dyDescent="0.35">
      <c r="A58" t="s">
        <v>107</v>
      </c>
      <c r="B58" t="s">
        <v>167</v>
      </c>
      <c r="C58" t="s">
        <v>195</v>
      </c>
      <c r="D58">
        <v>2000</v>
      </c>
      <c r="E58">
        <v>20</v>
      </c>
      <c r="F58">
        <f>PRODUCT(D58:E58)</f>
        <v>40000</v>
      </c>
      <c r="G58">
        <f>AVERAGE(F58:F117)</f>
        <v>26875</v>
      </c>
      <c r="H58" t="str">
        <f>IF(F58&gt;=AVERAGE(F$2:F$61),"High Performing","Low Performing")</f>
        <v>Low Performing</v>
      </c>
      <c r="I58" t="str">
        <f>IF(D58&gt;=10000,"Premium",IF(D58&gt;=8000,"Standard","Low Cost"))</f>
        <v>Low Cost</v>
      </c>
      <c r="J58" t="str">
        <f>_xlfn.CONCAT(B58," Generated ₦",F58," In Sales")</f>
        <v>Watermelon Generated ₦40000 In Sales</v>
      </c>
      <c r="L58">
        <f>RANK(F58,F$2:F$61)</f>
        <v>57</v>
      </c>
      <c r="M58" s="6">
        <f ca="1">TODAY()</f>
        <v>46016</v>
      </c>
    </row>
    <row r="59" spans="1:13" x14ac:dyDescent="0.35">
      <c r="A59" t="s">
        <v>108</v>
      </c>
      <c r="B59" t="s">
        <v>168</v>
      </c>
      <c r="C59" t="s">
        <v>195</v>
      </c>
      <c r="D59">
        <v>2700</v>
      </c>
      <c r="E59">
        <v>10</v>
      </c>
      <c r="F59">
        <f>PRODUCT(D59:E59)</f>
        <v>27000</v>
      </c>
      <c r="G59">
        <f>AVERAGE(F59:F118)</f>
        <v>22500</v>
      </c>
      <c r="H59" t="str">
        <f>IF(F59&gt;=AVERAGE(F$2:F$61),"High Performing","Low Performing")</f>
        <v>Low Performing</v>
      </c>
      <c r="I59" t="str">
        <f>IF(D59&gt;=10000,"Premium",IF(D59&gt;=8000,"Standard","Low Cost"))</f>
        <v>Low Cost</v>
      </c>
      <c r="J59" t="str">
        <f>_xlfn.CONCAT(B59," Generated ₦",F59," In Sales")</f>
        <v>Avocado Generated ₦27000 In Sales</v>
      </c>
      <c r="L59">
        <f>RANK(F59,F$2:F$61)</f>
        <v>58</v>
      </c>
      <c r="M59" s="6">
        <f ca="1">TODAY()</f>
        <v>46016</v>
      </c>
    </row>
    <row r="60" spans="1:13" x14ac:dyDescent="0.35">
      <c r="A60" t="s">
        <v>112</v>
      </c>
      <c r="B60" t="s">
        <v>172</v>
      </c>
      <c r="C60" t="s">
        <v>186</v>
      </c>
      <c r="D60">
        <v>1500</v>
      </c>
      <c r="E60">
        <v>15</v>
      </c>
      <c r="F60">
        <f>PRODUCT(D60:E60)</f>
        <v>22500</v>
      </c>
      <c r="G60">
        <f>AVERAGE(F60:F119)</f>
        <v>20250</v>
      </c>
      <c r="H60" t="str">
        <f>IF(F60&gt;=AVERAGE(F$2:F$61),"High Performing","Low Performing")</f>
        <v>Low Performing</v>
      </c>
      <c r="I60" t="str">
        <f>IF(D60&gt;=10000,"Premium",IF(D60&gt;=8000,"Standard","Low Cost"))</f>
        <v>Low Cost</v>
      </c>
      <c r="J60" t="str">
        <f>_xlfn.CONCAT(B60," Generated ₦",F60," In Sales")</f>
        <v>Peanut Generated ₦22500 In Sales</v>
      </c>
      <c r="L60">
        <f>RANK(F60,F$2:F$61)</f>
        <v>59</v>
      </c>
      <c r="M60" s="6">
        <f ca="1">TODAY()</f>
        <v>46016</v>
      </c>
    </row>
    <row r="61" spans="1:13" x14ac:dyDescent="0.35">
      <c r="A61" t="s">
        <v>74</v>
      </c>
      <c r="B61" t="s">
        <v>134</v>
      </c>
      <c r="C61" t="s">
        <v>189</v>
      </c>
      <c r="D61">
        <v>1500</v>
      </c>
      <c r="E61">
        <v>12</v>
      </c>
      <c r="F61">
        <f>PRODUCT(D61:E61)</f>
        <v>18000</v>
      </c>
      <c r="G61">
        <f>AVERAGE(F61:F120)</f>
        <v>18000</v>
      </c>
      <c r="H61" t="str">
        <f>IF(F61&gt;=AVERAGE(F$2:F$61),"High Performing","Low Performing")</f>
        <v>Low Performing</v>
      </c>
      <c r="I61" t="str">
        <f>IF(D61&gt;=10000,"Premium",IF(D61&gt;=8000,"Standard","Low Cost"))</f>
        <v>Low Cost</v>
      </c>
      <c r="J61" t="str">
        <f>_xlfn.CONCAT(B61," Generated ₦",F61," In Sales")</f>
        <v>Tea Generated ₦18000 In Sales</v>
      </c>
      <c r="L61">
        <f>RANK(F61,F$2:F$61)</f>
        <v>60</v>
      </c>
      <c r="M61" s="6">
        <f ca="1">TODAY()</f>
        <v>46016</v>
      </c>
    </row>
    <row r="62" spans="1:13" x14ac:dyDescent="0.35">
      <c r="B62" t="s">
        <v>197</v>
      </c>
      <c r="C62">
        <f>SUMIF(C2:C61,"Food",F2:F61)</f>
        <v>2556000</v>
      </c>
    </row>
    <row r="63" spans="1:13" x14ac:dyDescent="0.35">
      <c r="C63">
        <f>SUMIF(C3:C62,"Beverage",F3:F62)</f>
        <v>1790500</v>
      </c>
      <c r="H63" t="s">
        <v>198</v>
      </c>
    </row>
    <row r="64" spans="1:13" x14ac:dyDescent="0.35">
      <c r="C64">
        <f>SUMIF(C4:C63,"Meat",F4:F63)</f>
        <v>1966800</v>
      </c>
      <c r="H64">
        <f>COUNTIF(H2:H61,"Low Performing")</f>
        <v>36</v>
      </c>
    </row>
    <row r="65" spans="3:8" x14ac:dyDescent="0.35">
      <c r="C65">
        <f>SUMIF(C5:C64,"Fruit",F5:F64)</f>
        <v>1447500</v>
      </c>
      <c r="H65">
        <f>COUNTIF(H3:H62,"High Performing")</f>
        <v>23</v>
      </c>
    </row>
    <row r="66" spans="3:8" x14ac:dyDescent="0.35">
      <c r="C66">
        <f>SUMIF(C6:C65,"Vegetable",F6:F65)</f>
        <v>2638000</v>
      </c>
    </row>
    <row r="67" spans="3:8" x14ac:dyDescent="0.35">
      <c r="C67">
        <f>SUMIF(C7:C66,"Grocery",F7:F66)</f>
        <v>3083500</v>
      </c>
    </row>
    <row r="68" spans="3:8" x14ac:dyDescent="0.35">
      <c r="C68">
        <f>SUMIF(C8:C67,"Dairy",F8:F67)</f>
        <v>971200</v>
      </c>
    </row>
    <row r="69" spans="3:8" x14ac:dyDescent="0.35">
      <c r="C69">
        <f>SUMIF(C9:C68,"Seafood",F9:F68)</f>
        <v>833200</v>
      </c>
    </row>
    <row r="70" spans="3:8" x14ac:dyDescent="0.35">
      <c r="C70">
        <f>SUMIF(C10:C69,"Bakery",F10:F69)</f>
        <v>780600</v>
      </c>
    </row>
  </sheetData>
  <sortState xmlns:xlrd2="http://schemas.microsoft.com/office/spreadsheetml/2017/richdata2" ref="A2:M61">
    <sortCondition ref="L2:L61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F892-8254-4D00-984D-3DD2D1F21379}">
  <dimension ref="A1:H11"/>
  <sheetViews>
    <sheetView workbookViewId="0">
      <selection activeCell="I17" sqref="I17"/>
    </sheetView>
  </sheetViews>
  <sheetFormatPr defaultRowHeight="14.5" x14ac:dyDescent="0.35"/>
  <cols>
    <col min="2" max="2" width="15.7265625" bestFit="1" customWidth="1"/>
    <col min="3" max="3" width="17.90625" bestFit="1" customWidth="1"/>
    <col min="4" max="4" width="11.81640625" bestFit="1" customWidth="1"/>
    <col min="5" max="5" width="16.81640625" bestFit="1" customWidth="1"/>
    <col min="7" max="7" width="16" bestFit="1" customWidth="1"/>
    <col min="8" max="8" width="15.6328125" bestFit="1" customWidth="1"/>
  </cols>
  <sheetData>
    <row r="1" spans="1:8" x14ac:dyDescent="0.35">
      <c r="A1" s="3" t="s">
        <v>12</v>
      </c>
      <c r="B1" s="3" t="s">
        <v>15</v>
      </c>
      <c r="C1" s="3" t="s">
        <v>13</v>
      </c>
      <c r="D1" s="3" t="s">
        <v>14</v>
      </c>
      <c r="E1" s="3" t="s">
        <v>51</v>
      </c>
      <c r="F1" s="3"/>
      <c r="G1" s="3" t="s">
        <v>52</v>
      </c>
      <c r="H1" s="5" t="s">
        <v>16</v>
      </c>
    </row>
    <row r="2" spans="1:8" x14ac:dyDescent="0.35">
      <c r="A2" t="s">
        <v>16</v>
      </c>
      <c r="B2" t="s">
        <v>25</v>
      </c>
      <c r="C2" t="s">
        <v>35</v>
      </c>
      <c r="D2" t="s">
        <v>46</v>
      </c>
      <c r="E2">
        <v>120000</v>
      </c>
    </row>
    <row r="3" spans="1:8" x14ac:dyDescent="0.35">
      <c r="A3" t="s">
        <v>17</v>
      </c>
      <c r="B3" t="s">
        <v>26</v>
      </c>
      <c r="C3" t="s">
        <v>36</v>
      </c>
      <c r="D3" t="s">
        <v>47</v>
      </c>
      <c r="E3">
        <v>95000</v>
      </c>
      <c r="G3" s="4" t="s">
        <v>15</v>
      </c>
      <c r="H3" t="str">
        <f>VLOOKUP(H1,A2:E11,2,FALSE)</f>
        <v>DAVID JOHSON</v>
      </c>
    </row>
    <row r="4" spans="1:8" x14ac:dyDescent="0.35">
      <c r="A4" t="s">
        <v>18</v>
      </c>
      <c r="B4" t="s">
        <v>27</v>
      </c>
      <c r="C4" t="s">
        <v>37</v>
      </c>
      <c r="D4" t="s">
        <v>48</v>
      </c>
      <c r="E4">
        <v>140000</v>
      </c>
      <c r="G4" s="4" t="s">
        <v>13</v>
      </c>
      <c r="H4" t="str">
        <f>VLOOKUP(H1,A2:E12,3,FALSE)</f>
        <v>ACCOUNTS</v>
      </c>
    </row>
    <row r="5" spans="1:8" x14ac:dyDescent="0.35">
      <c r="A5" t="s">
        <v>19</v>
      </c>
      <c r="B5" t="s">
        <v>28</v>
      </c>
      <c r="C5" t="s">
        <v>38</v>
      </c>
      <c r="D5" t="s">
        <v>46</v>
      </c>
      <c r="E5">
        <v>110000</v>
      </c>
      <c r="G5" s="4" t="s">
        <v>14</v>
      </c>
      <c r="H5" t="str">
        <f>VLOOKUP(H1,A2:E13,4,FALSE)</f>
        <v>GL 08</v>
      </c>
    </row>
    <row r="6" spans="1:8" x14ac:dyDescent="0.35">
      <c r="A6" t="s">
        <v>20</v>
      </c>
      <c r="B6" t="s">
        <v>34</v>
      </c>
      <c r="C6" t="s">
        <v>39</v>
      </c>
      <c r="D6" t="s">
        <v>49</v>
      </c>
      <c r="E6">
        <v>180000</v>
      </c>
      <c r="G6" s="4" t="s">
        <v>51</v>
      </c>
      <c r="H6">
        <f>VLOOKUP(H1,A2:E14,5,FALSE)</f>
        <v>120000</v>
      </c>
    </row>
    <row r="7" spans="1:8" x14ac:dyDescent="0.35">
      <c r="A7" t="s">
        <v>21</v>
      </c>
      <c r="B7" t="s">
        <v>33</v>
      </c>
      <c r="C7" t="s">
        <v>40</v>
      </c>
      <c r="D7" t="s">
        <v>50</v>
      </c>
      <c r="E7">
        <v>85000</v>
      </c>
    </row>
    <row r="8" spans="1:8" x14ac:dyDescent="0.35">
      <c r="A8" t="s">
        <v>22</v>
      </c>
      <c r="B8" t="s">
        <v>29</v>
      </c>
      <c r="C8" t="s">
        <v>41</v>
      </c>
      <c r="D8" t="s">
        <v>48</v>
      </c>
      <c r="E8">
        <v>150000</v>
      </c>
    </row>
    <row r="9" spans="1:8" x14ac:dyDescent="0.35">
      <c r="A9" t="s">
        <v>23</v>
      </c>
      <c r="B9" t="s">
        <v>30</v>
      </c>
      <c r="C9" t="s">
        <v>42</v>
      </c>
      <c r="D9" t="s">
        <v>49</v>
      </c>
      <c r="E9">
        <v>200000</v>
      </c>
    </row>
    <row r="10" spans="1:8" x14ac:dyDescent="0.35">
      <c r="A10" t="s">
        <v>24</v>
      </c>
      <c r="B10" t="s">
        <v>31</v>
      </c>
      <c r="C10" t="s">
        <v>43</v>
      </c>
      <c r="D10" t="s">
        <v>47</v>
      </c>
      <c r="E10">
        <v>90000</v>
      </c>
    </row>
    <row r="11" spans="1:8" x14ac:dyDescent="0.35">
      <c r="A11" t="s">
        <v>45</v>
      </c>
      <c r="B11" t="s">
        <v>32</v>
      </c>
      <c r="C11" t="s">
        <v>44</v>
      </c>
      <c r="D11" t="s">
        <v>46</v>
      </c>
      <c r="E11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ISAAC</dc:creator>
  <cp:lastModifiedBy>PRECIOUS ISAAC</cp:lastModifiedBy>
  <dcterms:created xsi:type="dcterms:W3CDTF">2025-12-19T19:20:06Z</dcterms:created>
  <dcterms:modified xsi:type="dcterms:W3CDTF">2025-12-25T21:09:33Z</dcterms:modified>
</cp:coreProperties>
</file>